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2.xml" ContentType="application/vnd.openxmlformats-officedocument.spreadsheetml.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D:\"/>
    </mc:Choice>
  </mc:AlternateContent>
  <xr:revisionPtr revIDLastSave="0" documentId="13_ncr:1_{37C7D01A-9CA3-4D93-9B17-975455994C6A}" xr6:coauthVersionLast="47" xr6:coauthVersionMax="47" xr10:uidLastSave="{00000000-0000-0000-0000-000000000000}"/>
  <bookViews>
    <workbookView xWindow="-108" yWindow="-108" windowWidth="23256" windowHeight="13176" xr2:uid="{00000000-000D-0000-FFFF-FFFF00000000}"/>
  </bookViews>
  <sheets>
    <sheet name="Dashboard" sheetId="2" r:id="rId1"/>
    <sheet name="Data" sheetId="1" state="hidden" r:id="rId2"/>
    <sheet name="Summary" sheetId="4" state="hidden" r:id="rId3"/>
    <sheet name="Charts" sheetId="6" state="hidden" r:id="rId4"/>
  </sheets>
  <definedNames>
    <definedName name="_xlchart.v1.0" hidden="1">Data!$I$2:$I$615</definedName>
    <definedName name="_xlchart.v1.1" hidden="1">Data!$I$2:$I$615</definedName>
    <definedName name="Slicer_Credit_History">#N/A</definedName>
    <definedName name="Slicer_Education">#N/A</definedName>
    <definedName name="Slicer_Gender">#N/A</definedName>
    <definedName name="Slicer_Married">#N/A</definedName>
    <definedName name="Slicer_Property_Area">#N/A</definedName>
    <definedName name="Slicer_Self_Employed">#N/A</definedName>
  </definedNames>
  <calcPr calcId="18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6" i="2" l="1"/>
  <c r="R3" i="1" l="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2" i="1"/>
  <c r="D53" i="4"/>
  <c r="D37" i="4"/>
  <c r="D44" i="4"/>
  <c r="D51" i="4"/>
  <c r="D50" i="4"/>
  <c r="J29" i="4"/>
  <c r="J25" i="4"/>
  <c r="D49" i="4"/>
  <c r="D46" i="4"/>
  <c r="D40" i="4"/>
  <c r="D47" i="4"/>
  <c r="D38" i="4"/>
  <c r="J28" i="4"/>
  <c r="J24" i="4"/>
  <c r="J20" i="4"/>
  <c r="J16" i="4"/>
  <c r="D52" i="4"/>
  <c r="D36" i="4"/>
  <c r="D43" i="4"/>
  <c r="J31" i="4"/>
  <c r="J27" i="4"/>
  <c r="J19" i="4"/>
  <c r="D45" i="4"/>
  <c r="D41" i="4"/>
  <c r="D48" i="4"/>
  <c r="D42" i="4"/>
  <c r="D39" i="4"/>
  <c r="J30" i="4"/>
  <c r="J26" i="4"/>
  <c r="J22" i="4"/>
  <c r="J18" i="4"/>
  <c r="J14" i="4"/>
  <c r="J21" i="4"/>
  <c r="J17" i="4"/>
  <c r="J13" i="4"/>
  <c r="J23" i="4"/>
  <c r="J15" i="4"/>
  <c r="P6" i="2" l="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2" i="1"/>
  <c r="N3" i="1"/>
  <c r="N4" i="1"/>
  <c r="P4" i="1" s="1"/>
  <c r="N5" i="1"/>
  <c r="P5" i="1" s="1"/>
  <c r="N6" i="1"/>
  <c r="N7" i="1"/>
  <c r="N8" i="1"/>
  <c r="P8" i="1" s="1"/>
  <c r="N9" i="1"/>
  <c r="P9" i="1" s="1"/>
  <c r="N10" i="1"/>
  <c r="N11" i="1"/>
  <c r="N12" i="1"/>
  <c r="P12" i="1" s="1"/>
  <c r="N13" i="1"/>
  <c r="P13" i="1" s="1"/>
  <c r="N14" i="1"/>
  <c r="N15" i="1"/>
  <c r="N16" i="1"/>
  <c r="P16" i="1" s="1"/>
  <c r="N17" i="1"/>
  <c r="P17" i="1" s="1"/>
  <c r="N18" i="1"/>
  <c r="N19" i="1"/>
  <c r="N20" i="1"/>
  <c r="P20" i="1" s="1"/>
  <c r="N21" i="1"/>
  <c r="P21" i="1" s="1"/>
  <c r="N22" i="1"/>
  <c r="N23" i="1"/>
  <c r="N24" i="1"/>
  <c r="P24" i="1" s="1"/>
  <c r="N25" i="1"/>
  <c r="P25" i="1" s="1"/>
  <c r="N26" i="1"/>
  <c r="N27" i="1"/>
  <c r="N28" i="1"/>
  <c r="P28" i="1" s="1"/>
  <c r="N29" i="1"/>
  <c r="P29" i="1" s="1"/>
  <c r="N30" i="1"/>
  <c r="N31" i="1"/>
  <c r="N32" i="1"/>
  <c r="P32" i="1" s="1"/>
  <c r="N33" i="1"/>
  <c r="P33" i="1" s="1"/>
  <c r="N34" i="1"/>
  <c r="N35" i="1"/>
  <c r="N36" i="1"/>
  <c r="O36" i="1" s="1"/>
  <c r="N37" i="1"/>
  <c r="P37" i="1" s="1"/>
  <c r="N38" i="1"/>
  <c r="N39" i="1"/>
  <c r="N40" i="1"/>
  <c r="P40" i="1" s="1"/>
  <c r="N41" i="1"/>
  <c r="P41" i="1" s="1"/>
  <c r="N42" i="1"/>
  <c r="N43" i="1"/>
  <c r="N44" i="1"/>
  <c r="P44" i="1" s="1"/>
  <c r="N45" i="1"/>
  <c r="P45" i="1" s="1"/>
  <c r="N46" i="1"/>
  <c r="N47" i="1"/>
  <c r="N48" i="1"/>
  <c r="P48" i="1" s="1"/>
  <c r="N49" i="1"/>
  <c r="P49" i="1" s="1"/>
  <c r="N50" i="1"/>
  <c r="N51" i="1"/>
  <c r="N52" i="1"/>
  <c r="P52" i="1" s="1"/>
  <c r="N53" i="1"/>
  <c r="P53" i="1" s="1"/>
  <c r="N54" i="1"/>
  <c r="N55" i="1"/>
  <c r="N56" i="1"/>
  <c r="P56" i="1" s="1"/>
  <c r="N57" i="1"/>
  <c r="P57" i="1" s="1"/>
  <c r="N58" i="1"/>
  <c r="N59" i="1"/>
  <c r="N60" i="1"/>
  <c r="P60" i="1" s="1"/>
  <c r="N61" i="1"/>
  <c r="P61" i="1" s="1"/>
  <c r="N62" i="1"/>
  <c r="N63" i="1"/>
  <c r="N64" i="1"/>
  <c r="P64" i="1" s="1"/>
  <c r="N65" i="1"/>
  <c r="P65" i="1" s="1"/>
  <c r="N66" i="1"/>
  <c r="N67" i="1"/>
  <c r="N68" i="1"/>
  <c r="P68" i="1" s="1"/>
  <c r="N69" i="1"/>
  <c r="P69" i="1" s="1"/>
  <c r="N70" i="1"/>
  <c r="N71" i="1"/>
  <c r="N72" i="1"/>
  <c r="P72" i="1" s="1"/>
  <c r="N73" i="1"/>
  <c r="P73" i="1" s="1"/>
  <c r="N74" i="1"/>
  <c r="N75" i="1"/>
  <c r="N76" i="1"/>
  <c r="P76" i="1" s="1"/>
  <c r="N77" i="1"/>
  <c r="P77" i="1" s="1"/>
  <c r="N78" i="1"/>
  <c r="N79" i="1"/>
  <c r="N80" i="1"/>
  <c r="P80" i="1" s="1"/>
  <c r="N81" i="1"/>
  <c r="P81" i="1" s="1"/>
  <c r="N82" i="1"/>
  <c r="N83" i="1"/>
  <c r="N84" i="1"/>
  <c r="P84" i="1" s="1"/>
  <c r="N85" i="1"/>
  <c r="P85" i="1" s="1"/>
  <c r="N86" i="1"/>
  <c r="N87" i="1"/>
  <c r="N88" i="1"/>
  <c r="P88" i="1" s="1"/>
  <c r="N89" i="1"/>
  <c r="P89" i="1" s="1"/>
  <c r="N90" i="1"/>
  <c r="N91" i="1"/>
  <c r="N92" i="1"/>
  <c r="P92" i="1" s="1"/>
  <c r="N93" i="1"/>
  <c r="P93" i="1" s="1"/>
  <c r="N94" i="1"/>
  <c r="N95" i="1"/>
  <c r="N96" i="1"/>
  <c r="P96" i="1" s="1"/>
  <c r="N97" i="1"/>
  <c r="P97" i="1" s="1"/>
  <c r="N98" i="1"/>
  <c r="N99" i="1"/>
  <c r="N100" i="1"/>
  <c r="P100" i="1" s="1"/>
  <c r="N101" i="1"/>
  <c r="P101" i="1" s="1"/>
  <c r="N102" i="1"/>
  <c r="N103" i="1"/>
  <c r="N104" i="1"/>
  <c r="P104" i="1" s="1"/>
  <c r="N105" i="1"/>
  <c r="P105" i="1" s="1"/>
  <c r="N106" i="1"/>
  <c r="N107" i="1"/>
  <c r="N108" i="1"/>
  <c r="P108" i="1" s="1"/>
  <c r="N109" i="1"/>
  <c r="P109" i="1" s="1"/>
  <c r="N110" i="1"/>
  <c r="N111" i="1"/>
  <c r="N112" i="1"/>
  <c r="P112" i="1" s="1"/>
  <c r="N113" i="1"/>
  <c r="P113" i="1" s="1"/>
  <c r="N114" i="1"/>
  <c r="N115" i="1"/>
  <c r="N116" i="1"/>
  <c r="P116" i="1" s="1"/>
  <c r="N117" i="1"/>
  <c r="P117" i="1" s="1"/>
  <c r="N118" i="1"/>
  <c r="N119" i="1"/>
  <c r="N120" i="1"/>
  <c r="O120" i="1" s="1"/>
  <c r="N121" i="1"/>
  <c r="O121" i="1" s="1"/>
  <c r="N122" i="1"/>
  <c r="N123" i="1"/>
  <c r="N124" i="1"/>
  <c r="P124" i="1" s="1"/>
  <c r="N125" i="1"/>
  <c r="P125" i="1" s="1"/>
  <c r="N126" i="1"/>
  <c r="N127" i="1"/>
  <c r="N128" i="1"/>
  <c r="P128" i="1" s="1"/>
  <c r="N129" i="1"/>
  <c r="P129" i="1" s="1"/>
  <c r="N130" i="1"/>
  <c r="N131" i="1"/>
  <c r="N132" i="1"/>
  <c r="P132" i="1" s="1"/>
  <c r="N133" i="1"/>
  <c r="P133" i="1" s="1"/>
  <c r="N134" i="1"/>
  <c r="N135" i="1"/>
  <c r="N136" i="1"/>
  <c r="P136" i="1" s="1"/>
  <c r="N137" i="1"/>
  <c r="P137" i="1" s="1"/>
  <c r="N138" i="1"/>
  <c r="N139" i="1"/>
  <c r="N140" i="1"/>
  <c r="P140" i="1" s="1"/>
  <c r="N141" i="1"/>
  <c r="O141" i="1" s="1"/>
  <c r="N142" i="1"/>
  <c r="N143" i="1"/>
  <c r="O143" i="1" s="1"/>
  <c r="N144" i="1"/>
  <c r="P144" i="1" s="1"/>
  <c r="N145" i="1"/>
  <c r="P145" i="1" s="1"/>
  <c r="N146" i="1"/>
  <c r="N147" i="1"/>
  <c r="N148" i="1"/>
  <c r="P148" i="1" s="1"/>
  <c r="N149" i="1"/>
  <c r="P149" i="1" s="1"/>
  <c r="N150" i="1"/>
  <c r="N151" i="1"/>
  <c r="N152" i="1"/>
  <c r="P152" i="1" s="1"/>
  <c r="N153" i="1"/>
  <c r="P153" i="1" s="1"/>
  <c r="N154" i="1"/>
  <c r="N155" i="1"/>
  <c r="N156" i="1"/>
  <c r="P156" i="1" s="1"/>
  <c r="N157" i="1"/>
  <c r="P157" i="1" s="1"/>
  <c r="N158" i="1"/>
  <c r="N159" i="1"/>
  <c r="N160" i="1"/>
  <c r="P160" i="1" s="1"/>
  <c r="N161" i="1"/>
  <c r="P161" i="1" s="1"/>
  <c r="N162" i="1"/>
  <c r="N163" i="1"/>
  <c r="N164" i="1"/>
  <c r="P164" i="1" s="1"/>
  <c r="N165" i="1"/>
  <c r="P165" i="1" s="1"/>
  <c r="N166" i="1"/>
  <c r="N167" i="1"/>
  <c r="N168" i="1"/>
  <c r="P168" i="1" s="1"/>
  <c r="N169" i="1"/>
  <c r="P169" i="1" s="1"/>
  <c r="N170" i="1"/>
  <c r="N171" i="1"/>
  <c r="N172" i="1"/>
  <c r="P172" i="1" s="1"/>
  <c r="N173" i="1"/>
  <c r="P173" i="1" s="1"/>
  <c r="N174" i="1"/>
  <c r="N175" i="1"/>
  <c r="N176" i="1"/>
  <c r="P176" i="1" s="1"/>
  <c r="N177" i="1"/>
  <c r="P177" i="1" s="1"/>
  <c r="N178" i="1"/>
  <c r="N179" i="1"/>
  <c r="N180" i="1"/>
  <c r="P180" i="1" s="1"/>
  <c r="N181" i="1"/>
  <c r="P181" i="1" s="1"/>
  <c r="N182" i="1"/>
  <c r="N183" i="1"/>
  <c r="N184" i="1"/>
  <c r="O184" i="1" s="1"/>
  <c r="N185" i="1"/>
  <c r="O185" i="1" s="1"/>
  <c r="N186" i="1"/>
  <c r="N187" i="1"/>
  <c r="N188" i="1"/>
  <c r="P188" i="1" s="1"/>
  <c r="N189" i="1"/>
  <c r="P189" i="1" s="1"/>
  <c r="N190" i="1"/>
  <c r="N191" i="1"/>
  <c r="N192" i="1"/>
  <c r="P192" i="1" s="1"/>
  <c r="N193" i="1"/>
  <c r="P193" i="1" s="1"/>
  <c r="N194" i="1"/>
  <c r="N195" i="1"/>
  <c r="N196" i="1"/>
  <c r="P196" i="1" s="1"/>
  <c r="N197" i="1"/>
  <c r="P197" i="1" s="1"/>
  <c r="N198" i="1"/>
  <c r="N199" i="1"/>
  <c r="N200" i="1"/>
  <c r="P200" i="1" s="1"/>
  <c r="N201" i="1"/>
  <c r="P201" i="1" s="1"/>
  <c r="N202" i="1"/>
  <c r="N203" i="1"/>
  <c r="N204" i="1"/>
  <c r="P204" i="1" s="1"/>
  <c r="N205" i="1"/>
  <c r="O205" i="1" s="1"/>
  <c r="N206" i="1"/>
  <c r="N207" i="1"/>
  <c r="O207" i="1" s="1"/>
  <c r="N208" i="1"/>
  <c r="P208" i="1" s="1"/>
  <c r="N209" i="1"/>
  <c r="P209" i="1" s="1"/>
  <c r="N210" i="1"/>
  <c r="N211" i="1"/>
  <c r="N212" i="1"/>
  <c r="P212" i="1" s="1"/>
  <c r="N213" i="1"/>
  <c r="P213" i="1" s="1"/>
  <c r="N214" i="1"/>
  <c r="N215" i="1"/>
  <c r="N216" i="1"/>
  <c r="P216" i="1" s="1"/>
  <c r="N217" i="1"/>
  <c r="P217" i="1" s="1"/>
  <c r="N218" i="1"/>
  <c r="N219" i="1"/>
  <c r="N220" i="1"/>
  <c r="P220" i="1" s="1"/>
  <c r="N221" i="1"/>
  <c r="P221" i="1" s="1"/>
  <c r="N222" i="1"/>
  <c r="N223" i="1"/>
  <c r="N224" i="1"/>
  <c r="P224" i="1" s="1"/>
  <c r="N225" i="1"/>
  <c r="P225" i="1" s="1"/>
  <c r="N226" i="1"/>
  <c r="N227" i="1"/>
  <c r="N228" i="1"/>
  <c r="P228" i="1" s="1"/>
  <c r="N229" i="1"/>
  <c r="P229" i="1" s="1"/>
  <c r="N230" i="1"/>
  <c r="N231" i="1"/>
  <c r="N232" i="1"/>
  <c r="P232" i="1" s="1"/>
  <c r="N233" i="1"/>
  <c r="P233" i="1" s="1"/>
  <c r="N234" i="1"/>
  <c r="N235" i="1"/>
  <c r="N236" i="1"/>
  <c r="P236" i="1" s="1"/>
  <c r="N237" i="1"/>
  <c r="P237" i="1" s="1"/>
  <c r="N238" i="1"/>
  <c r="N239" i="1"/>
  <c r="N240" i="1"/>
  <c r="P240" i="1" s="1"/>
  <c r="N241" i="1"/>
  <c r="P241" i="1" s="1"/>
  <c r="N242" i="1"/>
  <c r="N243" i="1"/>
  <c r="N244" i="1"/>
  <c r="P244" i="1" s="1"/>
  <c r="N245" i="1"/>
  <c r="P245" i="1" s="1"/>
  <c r="N246" i="1"/>
  <c r="N247" i="1"/>
  <c r="N248" i="1"/>
  <c r="O248" i="1" s="1"/>
  <c r="N249" i="1"/>
  <c r="O249" i="1" s="1"/>
  <c r="N250" i="1"/>
  <c r="N251" i="1"/>
  <c r="N252" i="1"/>
  <c r="P252" i="1" s="1"/>
  <c r="N253" i="1"/>
  <c r="P253" i="1" s="1"/>
  <c r="N254" i="1"/>
  <c r="N255" i="1"/>
  <c r="N256" i="1"/>
  <c r="P256" i="1" s="1"/>
  <c r="N257" i="1"/>
  <c r="P257" i="1" s="1"/>
  <c r="N258" i="1"/>
  <c r="N259" i="1"/>
  <c r="N260" i="1"/>
  <c r="P260" i="1" s="1"/>
  <c r="N261" i="1"/>
  <c r="P261" i="1" s="1"/>
  <c r="N262" i="1"/>
  <c r="N263" i="1"/>
  <c r="N264" i="1"/>
  <c r="P264" i="1" s="1"/>
  <c r="N265" i="1"/>
  <c r="P265" i="1" s="1"/>
  <c r="N266" i="1"/>
  <c r="N267" i="1"/>
  <c r="N268" i="1"/>
  <c r="P268" i="1" s="1"/>
  <c r="N269" i="1"/>
  <c r="P269" i="1" s="1"/>
  <c r="N270" i="1"/>
  <c r="N271" i="1"/>
  <c r="O271" i="1" s="1"/>
  <c r="N272" i="1"/>
  <c r="P272" i="1" s="1"/>
  <c r="N273" i="1"/>
  <c r="P273" i="1" s="1"/>
  <c r="N274" i="1"/>
  <c r="N275" i="1"/>
  <c r="N276" i="1"/>
  <c r="P276" i="1" s="1"/>
  <c r="N277" i="1"/>
  <c r="P277" i="1" s="1"/>
  <c r="N278" i="1"/>
  <c r="N279" i="1"/>
  <c r="N280" i="1"/>
  <c r="P280" i="1" s="1"/>
  <c r="N281" i="1"/>
  <c r="P281" i="1" s="1"/>
  <c r="N282" i="1"/>
  <c r="N283" i="1"/>
  <c r="N284" i="1"/>
  <c r="P284" i="1" s="1"/>
  <c r="N285" i="1"/>
  <c r="P285" i="1" s="1"/>
  <c r="N286" i="1"/>
  <c r="N287" i="1"/>
  <c r="N288" i="1"/>
  <c r="P288" i="1" s="1"/>
  <c r="N289" i="1"/>
  <c r="P289" i="1" s="1"/>
  <c r="N290" i="1"/>
  <c r="N291" i="1"/>
  <c r="N292" i="1"/>
  <c r="P292" i="1" s="1"/>
  <c r="N293" i="1"/>
  <c r="P293" i="1" s="1"/>
  <c r="N294" i="1"/>
  <c r="N295" i="1"/>
  <c r="N296" i="1"/>
  <c r="P296" i="1" s="1"/>
  <c r="N297" i="1"/>
  <c r="P297" i="1" s="1"/>
  <c r="N298" i="1"/>
  <c r="N299" i="1"/>
  <c r="N300" i="1"/>
  <c r="P300" i="1" s="1"/>
  <c r="N301" i="1"/>
  <c r="P301" i="1" s="1"/>
  <c r="N302" i="1"/>
  <c r="N303" i="1"/>
  <c r="N304" i="1"/>
  <c r="P304" i="1" s="1"/>
  <c r="N305" i="1"/>
  <c r="P305" i="1" s="1"/>
  <c r="N306" i="1"/>
  <c r="N307" i="1"/>
  <c r="N308" i="1"/>
  <c r="P308" i="1" s="1"/>
  <c r="N309" i="1"/>
  <c r="P309" i="1" s="1"/>
  <c r="N310" i="1"/>
  <c r="N311" i="1"/>
  <c r="N312" i="1"/>
  <c r="O312" i="1" s="1"/>
  <c r="N313" i="1"/>
  <c r="O313" i="1" s="1"/>
  <c r="N314" i="1"/>
  <c r="N315" i="1"/>
  <c r="N316" i="1"/>
  <c r="P316" i="1" s="1"/>
  <c r="N317" i="1"/>
  <c r="P317" i="1" s="1"/>
  <c r="N318" i="1"/>
  <c r="N319" i="1"/>
  <c r="N320" i="1"/>
  <c r="P320" i="1" s="1"/>
  <c r="N321" i="1"/>
  <c r="P321" i="1" s="1"/>
  <c r="N322" i="1"/>
  <c r="N323" i="1"/>
  <c r="P323" i="1" s="1"/>
  <c r="N324" i="1"/>
  <c r="O324" i="1" s="1"/>
  <c r="N325" i="1"/>
  <c r="P325" i="1" s="1"/>
  <c r="N326" i="1"/>
  <c r="N327" i="1"/>
  <c r="N328" i="1"/>
  <c r="P328" i="1" s="1"/>
  <c r="N329" i="1"/>
  <c r="P329" i="1" s="1"/>
  <c r="N330" i="1"/>
  <c r="N331" i="1"/>
  <c r="N332" i="1"/>
  <c r="P332" i="1" s="1"/>
  <c r="N333" i="1"/>
  <c r="P333" i="1" s="1"/>
  <c r="N334" i="1"/>
  <c r="N335" i="1"/>
  <c r="O335" i="1" s="1"/>
  <c r="N336" i="1"/>
  <c r="P336" i="1" s="1"/>
  <c r="N337" i="1"/>
  <c r="P337" i="1" s="1"/>
  <c r="N338" i="1"/>
  <c r="N339" i="1"/>
  <c r="P339" i="1" s="1"/>
  <c r="N340" i="1"/>
  <c r="P340" i="1" s="1"/>
  <c r="N341" i="1"/>
  <c r="P341" i="1" s="1"/>
  <c r="N342" i="1"/>
  <c r="N343" i="1"/>
  <c r="P343" i="1" s="1"/>
  <c r="N344" i="1"/>
  <c r="P344" i="1" s="1"/>
  <c r="N345" i="1"/>
  <c r="O345" i="1" s="1"/>
  <c r="N346" i="1"/>
  <c r="N347" i="1"/>
  <c r="N348" i="1"/>
  <c r="P348" i="1" s="1"/>
  <c r="N349" i="1"/>
  <c r="P349" i="1" s="1"/>
  <c r="N350" i="1"/>
  <c r="N351" i="1"/>
  <c r="N352" i="1"/>
  <c r="P352" i="1" s="1"/>
  <c r="N353" i="1"/>
  <c r="P353" i="1" s="1"/>
  <c r="N354" i="1"/>
  <c r="N355" i="1"/>
  <c r="N356" i="1"/>
  <c r="P356" i="1" s="1"/>
  <c r="N357" i="1"/>
  <c r="P357" i="1" s="1"/>
  <c r="N358" i="1"/>
  <c r="N359" i="1"/>
  <c r="N360" i="1"/>
  <c r="P360" i="1" s="1"/>
  <c r="N361" i="1"/>
  <c r="P361" i="1" s="1"/>
  <c r="N362" i="1"/>
  <c r="N363" i="1"/>
  <c r="N364" i="1"/>
  <c r="P364" i="1" s="1"/>
  <c r="N365" i="1"/>
  <c r="P365" i="1" s="1"/>
  <c r="N366" i="1"/>
  <c r="N367" i="1"/>
  <c r="N368" i="1"/>
  <c r="O368" i="1" s="1"/>
  <c r="N369" i="1"/>
  <c r="P369" i="1" s="1"/>
  <c r="N370" i="1"/>
  <c r="N371" i="1"/>
  <c r="N372" i="1"/>
  <c r="P372" i="1" s="1"/>
  <c r="N373" i="1"/>
  <c r="P373" i="1" s="1"/>
  <c r="N374" i="1"/>
  <c r="N375" i="1"/>
  <c r="N376" i="1"/>
  <c r="P376" i="1" s="1"/>
  <c r="N377" i="1"/>
  <c r="P377" i="1" s="1"/>
  <c r="N378" i="1"/>
  <c r="N379" i="1"/>
  <c r="N380" i="1"/>
  <c r="P380" i="1" s="1"/>
  <c r="N381" i="1"/>
  <c r="P381" i="1" s="1"/>
  <c r="N382" i="1"/>
  <c r="N383" i="1"/>
  <c r="N384" i="1"/>
  <c r="P384" i="1" s="1"/>
  <c r="N385" i="1"/>
  <c r="P385" i="1" s="1"/>
  <c r="N386" i="1"/>
  <c r="N387" i="1"/>
  <c r="N388" i="1"/>
  <c r="P388" i="1" s="1"/>
  <c r="N389" i="1"/>
  <c r="P389" i="1" s="1"/>
  <c r="N390" i="1"/>
  <c r="N391" i="1"/>
  <c r="N392" i="1"/>
  <c r="P392" i="1" s="1"/>
  <c r="N393" i="1"/>
  <c r="P393" i="1" s="1"/>
  <c r="N394" i="1"/>
  <c r="N395" i="1"/>
  <c r="N396" i="1"/>
  <c r="P396" i="1" s="1"/>
  <c r="N397" i="1"/>
  <c r="P397" i="1" s="1"/>
  <c r="N398" i="1"/>
  <c r="N399" i="1"/>
  <c r="N400" i="1"/>
  <c r="O400" i="1" s="1"/>
  <c r="N401" i="1"/>
  <c r="P401" i="1" s="1"/>
  <c r="N402" i="1"/>
  <c r="N403" i="1"/>
  <c r="N404" i="1"/>
  <c r="P404" i="1" s="1"/>
  <c r="N405" i="1"/>
  <c r="P405" i="1" s="1"/>
  <c r="N406" i="1"/>
  <c r="N407" i="1"/>
  <c r="N408" i="1"/>
  <c r="P408" i="1" s="1"/>
  <c r="N409" i="1"/>
  <c r="P409" i="1" s="1"/>
  <c r="N410" i="1"/>
  <c r="N411" i="1"/>
  <c r="N412" i="1"/>
  <c r="P412" i="1" s="1"/>
  <c r="N413" i="1"/>
  <c r="P413" i="1" s="1"/>
  <c r="N414" i="1"/>
  <c r="N415" i="1"/>
  <c r="N416" i="1"/>
  <c r="P416" i="1" s="1"/>
  <c r="N417" i="1"/>
  <c r="P417" i="1" s="1"/>
  <c r="N418" i="1"/>
  <c r="N419" i="1"/>
  <c r="N420" i="1"/>
  <c r="P420" i="1" s="1"/>
  <c r="N421" i="1"/>
  <c r="P421" i="1" s="1"/>
  <c r="N422" i="1"/>
  <c r="N423" i="1"/>
  <c r="N424" i="1"/>
  <c r="P424" i="1" s="1"/>
  <c r="N425" i="1"/>
  <c r="P425" i="1" s="1"/>
  <c r="N426" i="1"/>
  <c r="N427" i="1"/>
  <c r="N428" i="1"/>
  <c r="P428" i="1" s="1"/>
  <c r="N429" i="1"/>
  <c r="P429" i="1" s="1"/>
  <c r="N430" i="1"/>
  <c r="N431" i="1"/>
  <c r="N432" i="1"/>
  <c r="P432" i="1" s="1"/>
  <c r="N433" i="1"/>
  <c r="P433" i="1" s="1"/>
  <c r="N434" i="1"/>
  <c r="N435" i="1"/>
  <c r="N436" i="1"/>
  <c r="P436" i="1" s="1"/>
  <c r="N437" i="1"/>
  <c r="P437" i="1" s="1"/>
  <c r="N438" i="1"/>
  <c r="N439" i="1"/>
  <c r="N440" i="1"/>
  <c r="P440" i="1" s="1"/>
  <c r="N441" i="1"/>
  <c r="P441" i="1" s="1"/>
  <c r="N442" i="1"/>
  <c r="N443" i="1"/>
  <c r="N444" i="1"/>
  <c r="P444" i="1" s="1"/>
  <c r="N445" i="1"/>
  <c r="P445" i="1" s="1"/>
  <c r="N446" i="1"/>
  <c r="N447" i="1"/>
  <c r="N448" i="1"/>
  <c r="P448" i="1" s="1"/>
  <c r="N449" i="1"/>
  <c r="P449" i="1" s="1"/>
  <c r="N450" i="1"/>
  <c r="N451" i="1"/>
  <c r="N452" i="1"/>
  <c r="P452" i="1" s="1"/>
  <c r="N453" i="1"/>
  <c r="P453" i="1" s="1"/>
  <c r="N454" i="1"/>
  <c r="N455" i="1"/>
  <c r="N456" i="1"/>
  <c r="P456" i="1" s="1"/>
  <c r="N457" i="1"/>
  <c r="P457" i="1" s="1"/>
  <c r="N458" i="1"/>
  <c r="N459" i="1"/>
  <c r="O459" i="1" s="1"/>
  <c r="N460" i="1"/>
  <c r="P460" i="1" s="1"/>
  <c r="N461" i="1"/>
  <c r="P461" i="1" s="1"/>
  <c r="N462" i="1"/>
  <c r="N463" i="1"/>
  <c r="N464" i="1"/>
  <c r="P464" i="1" s="1"/>
  <c r="N465" i="1"/>
  <c r="P465" i="1" s="1"/>
  <c r="N466" i="1"/>
  <c r="N467" i="1"/>
  <c r="O467" i="1" s="1"/>
  <c r="N468" i="1"/>
  <c r="P468" i="1" s="1"/>
  <c r="N469" i="1"/>
  <c r="P469" i="1" s="1"/>
  <c r="N470" i="1"/>
  <c r="N471" i="1"/>
  <c r="N472" i="1"/>
  <c r="P472" i="1" s="1"/>
  <c r="N473" i="1"/>
  <c r="P473" i="1" s="1"/>
  <c r="N474" i="1"/>
  <c r="N475" i="1"/>
  <c r="O475" i="1" s="1"/>
  <c r="N476" i="1"/>
  <c r="P476" i="1" s="1"/>
  <c r="N477" i="1"/>
  <c r="P477" i="1" s="1"/>
  <c r="N478" i="1"/>
  <c r="N479" i="1"/>
  <c r="N480" i="1"/>
  <c r="P480" i="1" s="1"/>
  <c r="N481" i="1"/>
  <c r="P481" i="1" s="1"/>
  <c r="N482" i="1"/>
  <c r="N483" i="1"/>
  <c r="O483" i="1" s="1"/>
  <c r="N484" i="1"/>
  <c r="P484" i="1" s="1"/>
  <c r="N485" i="1"/>
  <c r="P485" i="1" s="1"/>
  <c r="N486" i="1"/>
  <c r="N487" i="1"/>
  <c r="N488" i="1"/>
  <c r="P488" i="1" s="1"/>
  <c r="N489" i="1"/>
  <c r="P489" i="1" s="1"/>
  <c r="N490" i="1"/>
  <c r="N491" i="1"/>
  <c r="O491" i="1" s="1"/>
  <c r="N492" i="1"/>
  <c r="P492" i="1" s="1"/>
  <c r="N493" i="1"/>
  <c r="P493" i="1" s="1"/>
  <c r="N494" i="1"/>
  <c r="N495" i="1"/>
  <c r="N496" i="1"/>
  <c r="P496" i="1" s="1"/>
  <c r="N497" i="1"/>
  <c r="P497" i="1" s="1"/>
  <c r="N498" i="1"/>
  <c r="N499" i="1"/>
  <c r="O499" i="1" s="1"/>
  <c r="N500" i="1"/>
  <c r="P500" i="1" s="1"/>
  <c r="N501" i="1"/>
  <c r="P501" i="1" s="1"/>
  <c r="N502" i="1"/>
  <c r="N503" i="1"/>
  <c r="N504" i="1"/>
  <c r="P504" i="1" s="1"/>
  <c r="N505" i="1"/>
  <c r="P505" i="1" s="1"/>
  <c r="N506" i="1"/>
  <c r="N507" i="1"/>
  <c r="O507" i="1" s="1"/>
  <c r="N508" i="1"/>
  <c r="P508" i="1" s="1"/>
  <c r="N509" i="1"/>
  <c r="P509" i="1" s="1"/>
  <c r="N510" i="1"/>
  <c r="N511" i="1"/>
  <c r="N512" i="1"/>
  <c r="P512" i="1" s="1"/>
  <c r="N513" i="1"/>
  <c r="P513" i="1" s="1"/>
  <c r="N514" i="1"/>
  <c r="N515" i="1"/>
  <c r="O515" i="1" s="1"/>
  <c r="N516" i="1"/>
  <c r="P516" i="1" s="1"/>
  <c r="N517" i="1"/>
  <c r="P517" i="1" s="1"/>
  <c r="N518" i="1"/>
  <c r="N519" i="1"/>
  <c r="N520" i="1"/>
  <c r="P520" i="1" s="1"/>
  <c r="N521" i="1"/>
  <c r="P521" i="1" s="1"/>
  <c r="N522" i="1"/>
  <c r="N523" i="1"/>
  <c r="O523" i="1" s="1"/>
  <c r="N524" i="1"/>
  <c r="P524" i="1" s="1"/>
  <c r="N525" i="1"/>
  <c r="P525" i="1" s="1"/>
  <c r="N526" i="1"/>
  <c r="N527" i="1"/>
  <c r="N528" i="1"/>
  <c r="P528" i="1" s="1"/>
  <c r="N529" i="1"/>
  <c r="P529" i="1" s="1"/>
  <c r="N530" i="1"/>
  <c r="N531" i="1"/>
  <c r="O531" i="1" s="1"/>
  <c r="N532" i="1"/>
  <c r="P532" i="1" s="1"/>
  <c r="N533" i="1"/>
  <c r="P533" i="1" s="1"/>
  <c r="N534" i="1"/>
  <c r="N535" i="1"/>
  <c r="N536" i="1"/>
  <c r="P536" i="1" s="1"/>
  <c r="N537" i="1"/>
  <c r="P537" i="1" s="1"/>
  <c r="N538" i="1"/>
  <c r="N539" i="1"/>
  <c r="O539" i="1" s="1"/>
  <c r="N540" i="1"/>
  <c r="P540" i="1" s="1"/>
  <c r="N541" i="1"/>
  <c r="P541" i="1" s="1"/>
  <c r="N542" i="1"/>
  <c r="N543" i="1"/>
  <c r="N544" i="1"/>
  <c r="P544" i="1" s="1"/>
  <c r="N545" i="1"/>
  <c r="P545" i="1" s="1"/>
  <c r="N546" i="1"/>
  <c r="N547" i="1"/>
  <c r="O547" i="1" s="1"/>
  <c r="N548" i="1"/>
  <c r="P548" i="1" s="1"/>
  <c r="N549" i="1"/>
  <c r="P549" i="1" s="1"/>
  <c r="N550" i="1"/>
  <c r="N551" i="1"/>
  <c r="N552" i="1"/>
  <c r="P552" i="1" s="1"/>
  <c r="N553" i="1"/>
  <c r="P553" i="1" s="1"/>
  <c r="N554" i="1"/>
  <c r="N555" i="1"/>
  <c r="O555" i="1" s="1"/>
  <c r="N556" i="1"/>
  <c r="P556" i="1" s="1"/>
  <c r="N557" i="1"/>
  <c r="P557" i="1" s="1"/>
  <c r="N558" i="1"/>
  <c r="N559" i="1"/>
  <c r="N560" i="1"/>
  <c r="P560" i="1" s="1"/>
  <c r="N561" i="1"/>
  <c r="P561" i="1" s="1"/>
  <c r="N562" i="1"/>
  <c r="N563" i="1"/>
  <c r="O563" i="1" s="1"/>
  <c r="N564" i="1"/>
  <c r="P564" i="1" s="1"/>
  <c r="N565" i="1"/>
  <c r="P565" i="1" s="1"/>
  <c r="N566" i="1"/>
  <c r="N567" i="1"/>
  <c r="N568" i="1"/>
  <c r="P568" i="1" s="1"/>
  <c r="N569" i="1"/>
  <c r="P569" i="1" s="1"/>
  <c r="N570" i="1"/>
  <c r="N571" i="1"/>
  <c r="O571" i="1" s="1"/>
  <c r="N572" i="1"/>
  <c r="P572" i="1" s="1"/>
  <c r="N573" i="1"/>
  <c r="P573" i="1" s="1"/>
  <c r="N574" i="1"/>
  <c r="N575" i="1"/>
  <c r="N576" i="1"/>
  <c r="P576" i="1" s="1"/>
  <c r="N577" i="1"/>
  <c r="P577" i="1" s="1"/>
  <c r="N578" i="1"/>
  <c r="N579" i="1"/>
  <c r="O579" i="1" s="1"/>
  <c r="N580" i="1"/>
  <c r="P580" i="1" s="1"/>
  <c r="N581" i="1"/>
  <c r="P581" i="1" s="1"/>
  <c r="N582" i="1"/>
  <c r="N583" i="1"/>
  <c r="N584" i="1"/>
  <c r="P584" i="1" s="1"/>
  <c r="N585" i="1"/>
  <c r="P585" i="1" s="1"/>
  <c r="N586" i="1"/>
  <c r="N587" i="1"/>
  <c r="O587" i="1" s="1"/>
  <c r="N588" i="1"/>
  <c r="P588" i="1" s="1"/>
  <c r="N589" i="1"/>
  <c r="P589" i="1" s="1"/>
  <c r="N590" i="1"/>
  <c r="N591" i="1"/>
  <c r="N592" i="1"/>
  <c r="P592" i="1" s="1"/>
  <c r="N593" i="1"/>
  <c r="P593" i="1" s="1"/>
  <c r="N594" i="1"/>
  <c r="N595" i="1"/>
  <c r="O595" i="1" s="1"/>
  <c r="N596" i="1"/>
  <c r="P596" i="1" s="1"/>
  <c r="N597" i="1"/>
  <c r="P597" i="1" s="1"/>
  <c r="N598" i="1"/>
  <c r="N599" i="1"/>
  <c r="N600" i="1"/>
  <c r="P600" i="1" s="1"/>
  <c r="N601" i="1"/>
  <c r="P601" i="1" s="1"/>
  <c r="N602" i="1"/>
  <c r="N603" i="1"/>
  <c r="O603" i="1" s="1"/>
  <c r="N604" i="1"/>
  <c r="P604" i="1" s="1"/>
  <c r="N605" i="1"/>
  <c r="P605" i="1" s="1"/>
  <c r="N606" i="1"/>
  <c r="N607" i="1"/>
  <c r="N608" i="1"/>
  <c r="P608" i="1" s="1"/>
  <c r="N609" i="1"/>
  <c r="P609" i="1" s="1"/>
  <c r="N610" i="1"/>
  <c r="N611" i="1"/>
  <c r="O611" i="1" s="1"/>
  <c r="N612" i="1"/>
  <c r="P612" i="1" s="1"/>
  <c r="N613" i="1"/>
  <c r="P613" i="1" s="1"/>
  <c r="N614" i="1"/>
  <c r="N615" i="1"/>
  <c r="N2" i="1"/>
  <c r="P2" i="1" s="1"/>
  <c r="T6" i="2" l="1"/>
  <c r="L6" i="2"/>
  <c r="D6" i="4"/>
  <c r="H6" i="2"/>
  <c r="D7" i="4"/>
  <c r="O244" i="1"/>
  <c r="P400" i="1"/>
  <c r="O440" i="1"/>
  <c r="O568" i="1"/>
  <c r="O408" i="1"/>
  <c r="O180" i="1"/>
  <c r="P205" i="1"/>
  <c r="O504" i="1"/>
  <c r="O376" i="1"/>
  <c r="O116" i="1"/>
  <c r="O472" i="1"/>
  <c r="O308" i="1"/>
  <c r="O52" i="1"/>
  <c r="O2" i="1"/>
  <c r="O552" i="1"/>
  <c r="O488" i="1"/>
  <c r="O424" i="1"/>
  <c r="O360" i="1"/>
  <c r="O276" i="1"/>
  <c r="O148" i="1"/>
  <c r="O20" i="1"/>
  <c r="P36" i="1"/>
  <c r="O600" i="1"/>
  <c r="O536" i="1"/>
  <c r="O337" i="1"/>
  <c r="O584" i="1"/>
  <c r="O520" i="1"/>
  <c r="O456" i="1"/>
  <c r="O392" i="1"/>
  <c r="O328" i="1"/>
  <c r="O212" i="1"/>
  <c r="O84" i="1"/>
  <c r="P368" i="1"/>
  <c r="O609" i="1"/>
  <c r="O577" i="1"/>
  <c r="O529" i="1"/>
  <c r="O481" i="1"/>
  <c r="O417" i="1"/>
  <c r="O261" i="1"/>
  <c r="O197" i="1"/>
  <c r="O133" i="1"/>
  <c r="O37" i="1"/>
  <c r="O464" i="1"/>
  <c r="O228" i="1"/>
  <c r="P313" i="1"/>
  <c r="O593" i="1"/>
  <c r="O561" i="1"/>
  <c r="O545" i="1"/>
  <c r="O513" i="1"/>
  <c r="O497" i="1"/>
  <c r="O465" i="1"/>
  <c r="O449" i="1"/>
  <c r="O433" i="1"/>
  <c r="O401" i="1"/>
  <c r="O385" i="1"/>
  <c r="O369" i="1"/>
  <c r="O353" i="1"/>
  <c r="O293" i="1"/>
  <c r="O229" i="1"/>
  <c r="O165" i="1"/>
  <c r="O101" i="1"/>
  <c r="O69" i="1"/>
  <c r="O5" i="1"/>
  <c r="P185" i="1"/>
  <c r="O608" i="1"/>
  <c r="O592" i="1"/>
  <c r="O576" i="1"/>
  <c r="O560" i="1"/>
  <c r="O544" i="1"/>
  <c r="O528" i="1"/>
  <c r="O512" i="1"/>
  <c r="O496" i="1"/>
  <c r="O480" i="1"/>
  <c r="O448" i="1"/>
  <c r="O432" i="1"/>
  <c r="O416" i="1"/>
  <c r="O384" i="1"/>
  <c r="O352" i="1"/>
  <c r="O321" i="1"/>
  <c r="O292" i="1"/>
  <c r="O260" i="1"/>
  <c r="O196" i="1"/>
  <c r="O164" i="1"/>
  <c r="O132" i="1"/>
  <c r="O100" i="1"/>
  <c r="O68" i="1"/>
  <c r="O4" i="1"/>
  <c r="P141" i="1"/>
  <c r="O601" i="1"/>
  <c r="O585" i="1"/>
  <c r="O569" i="1"/>
  <c r="O553" i="1"/>
  <c r="O537" i="1"/>
  <c r="O521" i="1"/>
  <c r="O505" i="1"/>
  <c r="O489" i="1"/>
  <c r="O473" i="1"/>
  <c r="O457" i="1"/>
  <c r="O441" i="1"/>
  <c r="O425" i="1"/>
  <c r="O409" i="1"/>
  <c r="O393" i="1"/>
  <c r="O377" i="1"/>
  <c r="O361" i="1"/>
  <c r="O344" i="1"/>
  <c r="O309" i="1"/>
  <c r="O277" i="1"/>
  <c r="O245" i="1"/>
  <c r="O213" i="1"/>
  <c r="O181" i="1"/>
  <c r="O149" i="1"/>
  <c r="O117" i="1"/>
  <c r="O85" i="1"/>
  <c r="O53" i="1"/>
  <c r="O21" i="1"/>
  <c r="P249" i="1"/>
  <c r="P121" i="1"/>
  <c r="O613" i="1"/>
  <c r="O605" i="1"/>
  <c r="O597" i="1"/>
  <c r="O589" i="1"/>
  <c r="O581" i="1"/>
  <c r="O573" i="1"/>
  <c r="O565" i="1"/>
  <c r="O557" i="1"/>
  <c r="O549" i="1"/>
  <c r="O541" i="1"/>
  <c r="O533" i="1"/>
  <c r="O525" i="1"/>
  <c r="O517" i="1"/>
  <c r="O509" i="1"/>
  <c r="O501" i="1"/>
  <c r="O493" i="1"/>
  <c r="O485" i="1"/>
  <c r="O477" i="1"/>
  <c r="O469" i="1"/>
  <c r="O461" i="1"/>
  <c r="O453" i="1"/>
  <c r="O445" i="1"/>
  <c r="O437" i="1"/>
  <c r="O429" i="1"/>
  <c r="O421" i="1"/>
  <c r="O413" i="1"/>
  <c r="O405" i="1"/>
  <c r="O397" i="1"/>
  <c r="O389" i="1"/>
  <c r="O381" i="1"/>
  <c r="O373" i="1"/>
  <c r="O365" i="1"/>
  <c r="O357" i="1"/>
  <c r="O349" i="1"/>
  <c r="O333" i="1"/>
  <c r="O317" i="1"/>
  <c r="O301" i="1"/>
  <c r="O285" i="1"/>
  <c r="O269" i="1"/>
  <c r="O253" i="1"/>
  <c r="O237" i="1"/>
  <c r="O221" i="1"/>
  <c r="O189" i="1"/>
  <c r="O173" i="1"/>
  <c r="O157" i="1"/>
  <c r="O125" i="1"/>
  <c r="O109" i="1"/>
  <c r="O93" i="1"/>
  <c r="O77" i="1"/>
  <c r="O61" i="1"/>
  <c r="O45" i="1"/>
  <c r="O29" i="1"/>
  <c r="O13" i="1"/>
  <c r="P312" i="1"/>
  <c r="P248" i="1"/>
  <c r="P184" i="1"/>
  <c r="P120" i="1"/>
  <c r="O612" i="1"/>
  <c r="O604" i="1"/>
  <c r="O596" i="1"/>
  <c r="O588" i="1"/>
  <c r="O580" i="1"/>
  <c r="O572" i="1"/>
  <c r="O564" i="1"/>
  <c r="O556" i="1"/>
  <c r="O548" i="1"/>
  <c r="O540" i="1"/>
  <c r="O532" i="1"/>
  <c r="O524" i="1"/>
  <c r="O516" i="1"/>
  <c r="O508" i="1"/>
  <c r="O500" i="1"/>
  <c r="O492" i="1"/>
  <c r="O484" i="1"/>
  <c r="O476" i="1"/>
  <c r="O468" i="1"/>
  <c r="O460" i="1"/>
  <c r="O452" i="1"/>
  <c r="O444" i="1"/>
  <c r="O436" i="1"/>
  <c r="O428" i="1"/>
  <c r="O420" i="1"/>
  <c r="O412" i="1"/>
  <c r="O404" i="1"/>
  <c r="O396" i="1"/>
  <c r="O388" i="1"/>
  <c r="O380" i="1"/>
  <c r="O372" i="1"/>
  <c r="O364" i="1"/>
  <c r="O356" i="1"/>
  <c r="O348" i="1"/>
  <c r="O332" i="1"/>
  <c r="O316" i="1"/>
  <c r="O300" i="1"/>
  <c r="O284" i="1"/>
  <c r="O268" i="1"/>
  <c r="O252" i="1"/>
  <c r="O236" i="1"/>
  <c r="O220" i="1"/>
  <c r="O204" i="1"/>
  <c r="O188" i="1"/>
  <c r="O172" i="1"/>
  <c r="O156" i="1"/>
  <c r="O140" i="1"/>
  <c r="O124" i="1"/>
  <c r="O108" i="1"/>
  <c r="O92" i="1"/>
  <c r="O76" i="1"/>
  <c r="O60" i="1"/>
  <c r="O44" i="1"/>
  <c r="O28" i="1"/>
  <c r="O12" i="1"/>
  <c r="P615" i="1"/>
  <c r="O615" i="1"/>
  <c r="P607" i="1"/>
  <c r="O607" i="1"/>
  <c r="P583" i="1"/>
  <c r="O583" i="1"/>
  <c r="P575" i="1"/>
  <c r="O575" i="1"/>
  <c r="P567" i="1"/>
  <c r="O567" i="1"/>
  <c r="P559" i="1"/>
  <c r="O559" i="1"/>
  <c r="P535" i="1"/>
  <c r="O535" i="1"/>
  <c r="P519" i="1"/>
  <c r="O519" i="1"/>
  <c r="P503" i="1"/>
  <c r="O503" i="1"/>
  <c r="P487" i="1"/>
  <c r="O487" i="1"/>
  <c r="P471" i="1"/>
  <c r="O471" i="1"/>
  <c r="P451" i="1"/>
  <c r="O451" i="1"/>
  <c r="P443" i="1"/>
  <c r="O443" i="1"/>
  <c r="P435" i="1"/>
  <c r="O435" i="1"/>
  <c r="P427" i="1"/>
  <c r="O427" i="1"/>
  <c r="P419" i="1"/>
  <c r="O419" i="1"/>
  <c r="P411" i="1"/>
  <c r="O411" i="1"/>
  <c r="P399" i="1"/>
  <c r="O399" i="1"/>
  <c r="P387" i="1"/>
  <c r="O387" i="1"/>
  <c r="P379" i="1"/>
  <c r="O379" i="1"/>
  <c r="P371" i="1"/>
  <c r="O371" i="1"/>
  <c r="P359" i="1"/>
  <c r="O359" i="1"/>
  <c r="P351" i="1"/>
  <c r="O351" i="1"/>
  <c r="P315" i="1"/>
  <c r="O315" i="1"/>
  <c r="P307" i="1"/>
  <c r="O307" i="1"/>
  <c r="P299" i="1"/>
  <c r="O299" i="1"/>
  <c r="P295" i="1"/>
  <c r="O295" i="1"/>
  <c r="P287" i="1"/>
  <c r="O287" i="1"/>
  <c r="P283" i="1"/>
  <c r="O283" i="1"/>
  <c r="P279" i="1"/>
  <c r="O279" i="1"/>
  <c r="P275" i="1"/>
  <c r="O275" i="1"/>
  <c r="P267" i="1"/>
  <c r="O267" i="1"/>
  <c r="O259" i="1"/>
  <c r="P259" i="1"/>
  <c r="P251" i="1"/>
  <c r="O251" i="1"/>
  <c r="P243" i="1"/>
  <c r="O243" i="1"/>
  <c r="O227" i="1"/>
  <c r="P227" i="1"/>
  <c r="P199" i="1"/>
  <c r="O199" i="1"/>
  <c r="P187" i="1"/>
  <c r="O187" i="1"/>
  <c r="P179" i="1"/>
  <c r="O179" i="1"/>
  <c r="P167" i="1"/>
  <c r="O167" i="1"/>
  <c r="P135" i="1"/>
  <c r="O135" i="1"/>
  <c r="P127" i="1"/>
  <c r="O127" i="1"/>
  <c r="P115" i="1"/>
  <c r="O115" i="1"/>
  <c r="P107" i="1"/>
  <c r="O107" i="1"/>
  <c r="O99" i="1"/>
  <c r="P99" i="1"/>
  <c r="P91" i="1"/>
  <c r="O91" i="1"/>
  <c r="O83" i="1"/>
  <c r="P83" i="1"/>
  <c r="P75" i="1"/>
  <c r="O75" i="1"/>
  <c r="O67" i="1"/>
  <c r="P67" i="1"/>
  <c r="P59" i="1"/>
  <c r="O59" i="1"/>
  <c r="O51" i="1"/>
  <c r="P51" i="1"/>
  <c r="P39" i="1"/>
  <c r="O39" i="1"/>
  <c r="P31" i="1"/>
  <c r="O31" i="1"/>
  <c r="P23" i="1"/>
  <c r="O23" i="1"/>
  <c r="P11" i="1"/>
  <c r="O11" i="1"/>
  <c r="O3" i="1"/>
  <c r="P3" i="1"/>
  <c r="P587" i="1"/>
  <c r="P459" i="1"/>
  <c r="P614" i="1"/>
  <c r="O614" i="1"/>
  <c r="P606" i="1"/>
  <c r="O606" i="1"/>
  <c r="O594" i="1"/>
  <c r="P594" i="1"/>
  <c r="O586" i="1"/>
  <c r="P586" i="1"/>
  <c r="O578" i="1"/>
  <c r="P578" i="1"/>
  <c r="P566" i="1"/>
  <c r="O566" i="1"/>
  <c r="P558" i="1"/>
  <c r="O558" i="1"/>
  <c r="P550" i="1"/>
  <c r="O550" i="1"/>
  <c r="P542" i="1"/>
  <c r="O542" i="1"/>
  <c r="O538" i="1"/>
  <c r="P538" i="1"/>
  <c r="O530" i="1"/>
  <c r="P530" i="1"/>
  <c r="O522" i="1"/>
  <c r="P522" i="1"/>
  <c r="P518" i="1"/>
  <c r="O518" i="1"/>
  <c r="P510" i="1"/>
  <c r="O510" i="1"/>
  <c r="P502" i="1"/>
  <c r="O502" i="1"/>
  <c r="P494" i="1"/>
  <c r="O494" i="1"/>
  <c r="P486" i="1"/>
  <c r="O486" i="1"/>
  <c r="P478" i="1"/>
  <c r="O478" i="1"/>
  <c r="P470" i="1"/>
  <c r="O470" i="1"/>
  <c r="O458" i="1"/>
  <c r="P458" i="1"/>
  <c r="P450" i="1"/>
  <c r="O450" i="1"/>
  <c r="P438" i="1"/>
  <c r="O438" i="1"/>
  <c r="P434" i="1"/>
  <c r="O434" i="1"/>
  <c r="P426" i="1"/>
  <c r="O426" i="1"/>
  <c r="P418" i="1"/>
  <c r="O418" i="1"/>
  <c r="P406" i="1"/>
  <c r="O406" i="1"/>
  <c r="P398" i="1"/>
  <c r="O398" i="1"/>
  <c r="P394" i="1"/>
  <c r="O394" i="1"/>
  <c r="P386" i="1"/>
  <c r="O386" i="1"/>
  <c r="P378" i="1"/>
  <c r="O378" i="1"/>
  <c r="P370" i="1"/>
  <c r="O370" i="1"/>
  <c r="P362" i="1"/>
  <c r="O362" i="1"/>
  <c r="P354" i="1"/>
  <c r="O354" i="1"/>
  <c r="P346" i="1"/>
  <c r="O346" i="1"/>
  <c r="P342" i="1"/>
  <c r="O342" i="1"/>
  <c r="P330" i="1"/>
  <c r="O330" i="1"/>
  <c r="P322" i="1"/>
  <c r="O322" i="1"/>
  <c r="P314" i="1"/>
  <c r="O314" i="1"/>
  <c r="P306" i="1"/>
  <c r="O306" i="1"/>
  <c r="P298" i="1"/>
  <c r="O298" i="1"/>
  <c r="P290" i="1"/>
  <c r="O290" i="1"/>
  <c r="P282" i="1"/>
  <c r="O282" i="1"/>
  <c r="P274" i="1"/>
  <c r="O274" i="1"/>
  <c r="P262" i="1"/>
  <c r="O262" i="1"/>
  <c r="P254" i="1"/>
  <c r="O254" i="1"/>
  <c r="P246" i="1"/>
  <c r="O246" i="1"/>
  <c r="P238" i="1"/>
  <c r="O238" i="1"/>
  <c r="P230" i="1"/>
  <c r="O230" i="1"/>
  <c r="P222" i="1"/>
  <c r="O222" i="1"/>
  <c r="P214" i="1"/>
  <c r="O214" i="1"/>
  <c r="P206" i="1"/>
  <c r="O206" i="1"/>
  <c r="P194" i="1"/>
  <c r="O194" i="1"/>
  <c r="P186" i="1"/>
  <c r="O186" i="1"/>
  <c r="P178" i="1"/>
  <c r="O178" i="1"/>
  <c r="P170" i="1"/>
  <c r="O170" i="1"/>
  <c r="P162" i="1"/>
  <c r="O162" i="1"/>
  <c r="P150" i="1"/>
  <c r="O150" i="1"/>
  <c r="P142" i="1"/>
  <c r="O142" i="1"/>
  <c r="P130" i="1"/>
  <c r="O130" i="1"/>
  <c r="P122" i="1"/>
  <c r="O122" i="1"/>
  <c r="P118" i="1"/>
  <c r="O118" i="1"/>
  <c r="P110" i="1"/>
  <c r="O110" i="1"/>
  <c r="P102" i="1"/>
  <c r="O102" i="1"/>
  <c r="P94" i="1"/>
  <c r="O94" i="1"/>
  <c r="P86" i="1"/>
  <c r="O86" i="1"/>
  <c r="P78" i="1"/>
  <c r="O78" i="1"/>
  <c r="P70" i="1"/>
  <c r="O70" i="1"/>
  <c r="P62" i="1"/>
  <c r="O62" i="1"/>
  <c r="P50" i="1"/>
  <c r="O50" i="1"/>
  <c r="P42" i="1"/>
  <c r="O42" i="1"/>
  <c r="P34" i="1"/>
  <c r="O34" i="1"/>
  <c r="P26" i="1"/>
  <c r="O26" i="1"/>
  <c r="P22" i="1"/>
  <c r="O22" i="1"/>
  <c r="P14" i="1"/>
  <c r="O14" i="1"/>
  <c r="P10" i="1"/>
  <c r="O10" i="1"/>
  <c r="P6" i="1"/>
  <c r="O6" i="1"/>
  <c r="P611" i="1"/>
  <c r="P579" i="1"/>
  <c r="P547" i="1"/>
  <c r="P515" i="1"/>
  <c r="P483" i="1"/>
  <c r="P207" i="1"/>
  <c r="O339" i="1"/>
  <c r="P603" i="1"/>
  <c r="P571" i="1"/>
  <c r="P539" i="1"/>
  <c r="P507" i="1"/>
  <c r="P475" i="1"/>
  <c r="P143" i="1"/>
  <c r="P599" i="1"/>
  <c r="O599" i="1"/>
  <c r="P591" i="1"/>
  <c r="O591" i="1"/>
  <c r="P551" i="1"/>
  <c r="O551" i="1"/>
  <c r="P543" i="1"/>
  <c r="O543" i="1"/>
  <c r="P527" i="1"/>
  <c r="O527" i="1"/>
  <c r="P511" i="1"/>
  <c r="O511" i="1"/>
  <c r="P495" i="1"/>
  <c r="O495" i="1"/>
  <c r="P479" i="1"/>
  <c r="O479" i="1"/>
  <c r="P463" i="1"/>
  <c r="O463" i="1"/>
  <c r="P455" i="1"/>
  <c r="O455" i="1"/>
  <c r="P447" i="1"/>
  <c r="O447" i="1"/>
  <c r="P439" i="1"/>
  <c r="O439" i="1"/>
  <c r="P431" i="1"/>
  <c r="O431" i="1"/>
  <c r="P423" i="1"/>
  <c r="O423" i="1"/>
  <c r="P415" i="1"/>
  <c r="O415" i="1"/>
  <c r="P407" i="1"/>
  <c r="O407" i="1"/>
  <c r="P403" i="1"/>
  <c r="O403" i="1"/>
  <c r="P395" i="1"/>
  <c r="O395" i="1"/>
  <c r="P391" i="1"/>
  <c r="O391" i="1"/>
  <c r="P383" i="1"/>
  <c r="O383" i="1"/>
  <c r="P375" i="1"/>
  <c r="O375" i="1"/>
  <c r="P367" i="1"/>
  <c r="O367" i="1"/>
  <c r="P363" i="1"/>
  <c r="O363" i="1"/>
  <c r="P355" i="1"/>
  <c r="O355" i="1"/>
  <c r="P347" i="1"/>
  <c r="O347" i="1"/>
  <c r="P331" i="1"/>
  <c r="O331" i="1"/>
  <c r="P327" i="1"/>
  <c r="O327" i="1"/>
  <c r="P319" i="1"/>
  <c r="O319" i="1"/>
  <c r="P311" i="1"/>
  <c r="O311" i="1"/>
  <c r="O303" i="1"/>
  <c r="P303" i="1"/>
  <c r="O291" i="1"/>
  <c r="P291" i="1"/>
  <c r="P263" i="1"/>
  <c r="O263" i="1"/>
  <c r="P255" i="1"/>
  <c r="O255" i="1"/>
  <c r="P247" i="1"/>
  <c r="O247" i="1"/>
  <c r="O239" i="1"/>
  <c r="P239" i="1"/>
  <c r="P235" i="1"/>
  <c r="O235" i="1"/>
  <c r="P231" i="1"/>
  <c r="O231" i="1"/>
  <c r="P223" i="1"/>
  <c r="O223" i="1"/>
  <c r="P219" i="1"/>
  <c r="O219" i="1"/>
  <c r="P215" i="1"/>
  <c r="O215" i="1"/>
  <c r="P211" i="1"/>
  <c r="O211" i="1"/>
  <c r="P203" i="1"/>
  <c r="O203" i="1"/>
  <c r="O195" i="1"/>
  <c r="P195" i="1"/>
  <c r="P191" i="1"/>
  <c r="O191" i="1"/>
  <c r="P183" i="1"/>
  <c r="O183" i="1"/>
  <c r="O175" i="1"/>
  <c r="P175" i="1"/>
  <c r="P171" i="1"/>
  <c r="O171" i="1"/>
  <c r="O163" i="1"/>
  <c r="P163" i="1"/>
  <c r="P159" i="1"/>
  <c r="O159" i="1"/>
  <c r="P155" i="1"/>
  <c r="O155" i="1"/>
  <c r="P151" i="1"/>
  <c r="O151" i="1"/>
  <c r="P147" i="1"/>
  <c r="O147" i="1"/>
  <c r="P139" i="1"/>
  <c r="O139" i="1"/>
  <c r="O131" i="1"/>
  <c r="P131" i="1"/>
  <c r="P123" i="1"/>
  <c r="O123" i="1"/>
  <c r="P119" i="1"/>
  <c r="O119" i="1"/>
  <c r="O111" i="1"/>
  <c r="P111" i="1"/>
  <c r="P103" i="1"/>
  <c r="O103" i="1"/>
  <c r="P95" i="1"/>
  <c r="O95" i="1"/>
  <c r="P87" i="1"/>
  <c r="O87" i="1"/>
  <c r="P79" i="1"/>
  <c r="O79" i="1"/>
  <c r="P71" i="1"/>
  <c r="O71" i="1"/>
  <c r="P63" i="1"/>
  <c r="O63" i="1"/>
  <c r="P55" i="1"/>
  <c r="O55" i="1"/>
  <c r="P47" i="1"/>
  <c r="O47" i="1"/>
  <c r="P43" i="1"/>
  <c r="O43" i="1"/>
  <c r="O35" i="1"/>
  <c r="P35" i="1"/>
  <c r="P27" i="1"/>
  <c r="O27" i="1"/>
  <c r="O19" i="1"/>
  <c r="P19" i="1"/>
  <c r="P15" i="1"/>
  <c r="O15" i="1"/>
  <c r="P7" i="1"/>
  <c r="O7" i="1"/>
  <c r="P555" i="1"/>
  <c r="P523" i="1"/>
  <c r="P491" i="1"/>
  <c r="P271" i="1"/>
  <c r="O610" i="1"/>
  <c r="P610" i="1"/>
  <c r="O602" i="1"/>
  <c r="P602" i="1"/>
  <c r="P598" i="1"/>
  <c r="O598" i="1"/>
  <c r="P590" i="1"/>
  <c r="O590" i="1"/>
  <c r="P582" i="1"/>
  <c r="O582" i="1"/>
  <c r="P574" i="1"/>
  <c r="O574" i="1"/>
  <c r="O570" i="1"/>
  <c r="P570" i="1"/>
  <c r="O562" i="1"/>
  <c r="P562" i="1"/>
  <c r="O554" i="1"/>
  <c r="P554" i="1"/>
  <c r="O546" i="1"/>
  <c r="P546" i="1"/>
  <c r="P534" i="1"/>
  <c r="O534" i="1"/>
  <c r="P526" i="1"/>
  <c r="O526" i="1"/>
  <c r="O514" i="1"/>
  <c r="P514" i="1"/>
  <c r="O506" i="1"/>
  <c r="P506" i="1"/>
  <c r="O498" i="1"/>
  <c r="P498" i="1"/>
  <c r="O490" i="1"/>
  <c r="P490" i="1"/>
  <c r="O482" i="1"/>
  <c r="P482" i="1"/>
  <c r="O474" i="1"/>
  <c r="P474" i="1"/>
  <c r="O466" i="1"/>
  <c r="P466" i="1"/>
  <c r="P462" i="1"/>
  <c r="O462" i="1"/>
  <c r="P454" i="1"/>
  <c r="O454" i="1"/>
  <c r="P446" i="1"/>
  <c r="O446" i="1"/>
  <c r="P442" i="1"/>
  <c r="O442" i="1"/>
  <c r="P430" i="1"/>
  <c r="O430" i="1"/>
  <c r="P422" i="1"/>
  <c r="O422" i="1"/>
  <c r="P414" i="1"/>
  <c r="O414" i="1"/>
  <c r="P410" i="1"/>
  <c r="O410" i="1"/>
  <c r="P402" i="1"/>
  <c r="O402" i="1"/>
  <c r="P390" i="1"/>
  <c r="O390" i="1"/>
  <c r="P382" i="1"/>
  <c r="O382" i="1"/>
  <c r="P374" i="1"/>
  <c r="O374" i="1"/>
  <c r="P366" i="1"/>
  <c r="O366" i="1"/>
  <c r="P358" i="1"/>
  <c r="O358" i="1"/>
  <c r="P350" i="1"/>
  <c r="O350" i="1"/>
  <c r="P338" i="1"/>
  <c r="O338" i="1"/>
  <c r="P334" i="1"/>
  <c r="O334" i="1"/>
  <c r="P326" i="1"/>
  <c r="O326" i="1"/>
  <c r="P318" i="1"/>
  <c r="O318" i="1"/>
  <c r="P310" i="1"/>
  <c r="O310" i="1"/>
  <c r="P302" i="1"/>
  <c r="O302" i="1"/>
  <c r="P294" i="1"/>
  <c r="O294" i="1"/>
  <c r="P286" i="1"/>
  <c r="O286" i="1"/>
  <c r="P278" i="1"/>
  <c r="O278" i="1"/>
  <c r="P270" i="1"/>
  <c r="O270" i="1"/>
  <c r="P266" i="1"/>
  <c r="O266" i="1"/>
  <c r="P258" i="1"/>
  <c r="O258" i="1"/>
  <c r="P250" i="1"/>
  <c r="O250" i="1"/>
  <c r="P242" i="1"/>
  <c r="O242" i="1"/>
  <c r="P234" i="1"/>
  <c r="O234" i="1"/>
  <c r="P226" i="1"/>
  <c r="O226" i="1"/>
  <c r="P218" i="1"/>
  <c r="O218" i="1"/>
  <c r="P210" i="1"/>
  <c r="O210" i="1"/>
  <c r="P202" i="1"/>
  <c r="O202" i="1"/>
  <c r="P198" i="1"/>
  <c r="O198" i="1"/>
  <c r="P190" i="1"/>
  <c r="O190" i="1"/>
  <c r="P182" i="1"/>
  <c r="O182" i="1"/>
  <c r="P174" i="1"/>
  <c r="O174" i="1"/>
  <c r="P166" i="1"/>
  <c r="O166" i="1"/>
  <c r="P158" i="1"/>
  <c r="O158" i="1"/>
  <c r="P154" i="1"/>
  <c r="O154" i="1"/>
  <c r="P146" i="1"/>
  <c r="O146" i="1"/>
  <c r="P138" i="1"/>
  <c r="O138" i="1"/>
  <c r="P134" i="1"/>
  <c r="O134" i="1"/>
  <c r="P126" i="1"/>
  <c r="O126" i="1"/>
  <c r="P114" i="1"/>
  <c r="O114" i="1"/>
  <c r="P106" i="1"/>
  <c r="O106" i="1"/>
  <c r="P98" i="1"/>
  <c r="O98" i="1"/>
  <c r="P90" i="1"/>
  <c r="O90" i="1"/>
  <c r="P82" i="1"/>
  <c r="O82" i="1"/>
  <c r="P74" i="1"/>
  <c r="O74" i="1"/>
  <c r="P66" i="1"/>
  <c r="O66" i="1"/>
  <c r="P58" i="1"/>
  <c r="O58" i="1"/>
  <c r="P54" i="1"/>
  <c r="O54" i="1"/>
  <c r="P46" i="1"/>
  <c r="O46" i="1"/>
  <c r="P38" i="1"/>
  <c r="O38" i="1"/>
  <c r="P30" i="1"/>
  <c r="O30" i="1"/>
  <c r="P18" i="1"/>
  <c r="O18" i="1"/>
  <c r="O343" i="1"/>
  <c r="O323" i="1"/>
  <c r="P595" i="1"/>
  <c r="P563" i="1"/>
  <c r="P531" i="1"/>
  <c r="P499" i="1"/>
  <c r="P467" i="1"/>
  <c r="P335" i="1"/>
  <c r="O341" i="1"/>
  <c r="O336" i="1"/>
  <c r="O325" i="1"/>
  <c r="O320" i="1"/>
  <c r="O305" i="1"/>
  <c r="O297" i="1"/>
  <c r="O289" i="1"/>
  <c r="O281" i="1"/>
  <c r="O273" i="1"/>
  <c r="O265" i="1"/>
  <c r="O257" i="1"/>
  <c r="O241" i="1"/>
  <c r="O233" i="1"/>
  <c r="O225" i="1"/>
  <c r="O217" i="1"/>
  <c r="O209" i="1"/>
  <c r="O201" i="1"/>
  <c r="O193" i="1"/>
  <c r="O177" i="1"/>
  <c r="O169" i="1"/>
  <c r="O161" i="1"/>
  <c r="O153" i="1"/>
  <c r="O145" i="1"/>
  <c r="O137" i="1"/>
  <c r="O129" i="1"/>
  <c r="O113" i="1"/>
  <c r="O105" i="1"/>
  <c r="O97" i="1"/>
  <c r="O89" i="1"/>
  <c r="O81" i="1"/>
  <c r="O73" i="1"/>
  <c r="O65" i="1"/>
  <c r="O57" i="1"/>
  <c r="O49" i="1"/>
  <c r="O41" i="1"/>
  <c r="O33" i="1"/>
  <c r="O25" i="1"/>
  <c r="O17" i="1"/>
  <c r="O9" i="1"/>
  <c r="P345" i="1"/>
  <c r="P324" i="1"/>
  <c r="O340" i="1"/>
  <c r="O329" i="1"/>
  <c r="O304" i="1"/>
  <c r="O296" i="1"/>
  <c r="O288" i="1"/>
  <c r="O280" i="1"/>
  <c r="O272" i="1"/>
  <c r="O264" i="1"/>
  <c r="O256" i="1"/>
  <c r="O240" i="1"/>
  <c r="O232" i="1"/>
  <c r="O224" i="1"/>
  <c r="O216" i="1"/>
  <c r="O208" i="1"/>
  <c r="O200" i="1"/>
  <c r="O192" i="1"/>
  <c r="O176" i="1"/>
  <c r="O168" i="1"/>
  <c r="O160" i="1"/>
  <c r="O152" i="1"/>
  <c r="O144" i="1"/>
  <c r="O136" i="1"/>
  <c r="O128" i="1"/>
  <c r="O112" i="1"/>
  <c r="O104" i="1"/>
  <c r="O96" i="1"/>
  <c r="O88" i="1"/>
  <c r="O80" i="1"/>
  <c r="O72" i="1"/>
  <c r="O64" i="1"/>
  <c r="O56" i="1"/>
  <c r="O48" i="1"/>
  <c r="O40" i="1"/>
  <c r="O32" i="1"/>
  <c r="O24" i="1"/>
  <c r="O16" i="1"/>
  <c r="O8" i="1"/>
  <c r="D8" i="4" l="1"/>
</calcChain>
</file>

<file path=xl/sharedStrings.xml><?xml version="1.0" encoding="utf-8"?>
<sst xmlns="http://schemas.openxmlformats.org/spreadsheetml/2006/main" count="4496" uniqueCount="716">
  <si>
    <t>Loan_ID</t>
  </si>
  <si>
    <t>Gender</t>
  </si>
  <si>
    <t>Married</t>
  </si>
  <si>
    <t>Dependents</t>
  </si>
  <si>
    <t>Education</t>
  </si>
  <si>
    <t>Self_Employed</t>
  </si>
  <si>
    <t>Loan_Amount_Term</t>
  </si>
  <si>
    <t>Credit_History</t>
  </si>
  <si>
    <t>Property_Area</t>
  </si>
  <si>
    <t>Loan_Status</t>
  </si>
  <si>
    <t>LP001002</t>
  </si>
  <si>
    <t>Male</t>
  </si>
  <si>
    <t>No</t>
  </si>
  <si>
    <t>Graduate</t>
  </si>
  <si>
    <t>Urban</t>
  </si>
  <si>
    <t>Y</t>
  </si>
  <si>
    <t>LP001003</t>
  </si>
  <si>
    <t>Yes</t>
  </si>
  <si>
    <t>Rural</t>
  </si>
  <si>
    <t>N</t>
  </si>
  <si>
    <t>LP001005</t>
  </si>
  <si>
    <t>LP001006</t>
  </si>
  <si>
    <t>Not Graduate</t>
  </si>
  <si>
    <t>LP001008</t>
  </si>
  <si>
    <t>LP001011</t>
  </si>
  <si>
    <t>LP001013</t>
  </si>
  <si>
    <t>LP001014</t>
  </si>
  <si>
    <t>Semiurban</t>
  </si>
  <si>
    <t>LP001018</t>
  </si>
  <si>
    <t>LP001020</t>
  </si>
  <si>
    <t>LP001024</t>
  </si>
  <si>
    <t>LP001027</t>
  </si>
  <si>
    <t>LP001028</t>
  </si>
  <si>
    <t>LP001029</t>
  </si>
  <si>
    <t>LP001030</t>
  </si>
  <si>
    <t>LP001032</t>
  </si>
  <si>
    <t>LP001034</t>
  </si>
  <si>
    <t>LP001036</t>
  </si>
  <si>
    <t>Female</t>
  </si>
  <si>
    <t>LP001038</t>
  </si>
  <si>
    <t>LP001041</t>
  </si>
  <si>
    <t>LP001043</t>
  </si>
  <si>
    <t>LP001046</t>
  </si>
  <si>
    <t>LP001047</t>
  </si>
  <si>
    <t>LP001050</t>
  </si>
  <si>
    <t>LP001052</t>
  </si>
  <si>
    <t>LP001066</t>
  </si>
  <si>
    <t>LP001068</t>
  </si>
  <si>
    <t>LP001073</t>
  </si>
  <si>
    <t>LP001086</t>
  </si>
  <si>
    <t>LP001087</t>
  </si>
  <si>
    <t>LP001091</t>
  </si>
  <si>
    <t>LP001095</t>
  </si>
  <si>
    <t>LP001097</t>
  </si>
  <si>
    <t>LP001098</t>
  </si>
  <si>
    <t>LP001100</t>
  </si>
  <si>
    <t>LP001106</t>
  </si>
  <si>
    <t>LP001109</t>
  </si>
  <si>
    <t>LP001112</t>
  </si>
  <si>
    <t>LP001114</t>
  </si>
  <si>
    <t>LP001116</t>
  </si>
  <si>
    <t>LP001119</t>
  </si>
  <si>
    <t>LP001120</t>
  </si>
  <si>
    <t>LP001123</t>
  </si>
  <si>
    <t>LP001131</t>
  </si>
  <si>
    <t>LP001136</t>
  </si>
  <si>
    <t>LP001137</t>
  </si>
  <si>
    <t>LP001138</t>
  </si>
  <si>
    <t>LP001144</t>
  </si>
  <si>
    <t>LP001146</t>
  </si>
  <si>
    <t>LP001151</t>
  </si>
  <si>
    <t>LP001155</t>
  </si>
  <si>
    <t>LP001157</t>
  </si>
  <si>
    <t>LP001164</t>
  </si>
  <si>
    <t>LP001179</t>
  </si>
  <si>
    <t>LP001186</t>
  </si>
  <si>
    <t>LP001194</t>
  </si>
  <si>
    <t>LP001195</t>
  </si>
  <si>
    <t>LP001197</t>
  </si>
  <si>
    <t>LP001198</t>
  </si>
  <si>
    <t>LP001199</t>
  </si>
  <si>
    <t>LP001205</t>
  </si>
  <si>
    <t>LP001206</t>
  </si>
  <si>
    <t>LP001207</t>
  </si>
  <si>
    <t>LP001213</t>
  </si>
  <si>
    <t>LP001222</t>
  </si>
  <si>
    <t>LP001225</t>
  </si>
  <si>
    <t>LP001228</t>
  </si>
  <si>
    <t>LP001233</t>
  </si>
  <si>
    <t>LP001238</t>
  </si>
  <si>
    <t>LP001241</t>
  </si>
  <si>
    <t>LP001243</t>
  </si>
  <si>
    <t>LP001245</t>
  </si>
  <si>
    <t>LP001248</t>
  </si>
  <si>
    <t>LP001250</t>
  </si>
  <si>
    <t>LP001253</t>
  </si>
  <si>
    <t>LP001255</t>
  </si>
  <si>
    <t>LP001256</t>
  </si>
  <si>
    <t>LP001259</t>
  </si>
  <si>
    <t>LP001263</t>
  </si>
  <si>
    <t>LP001264</t>
  </si>
  <si>
    <t>LP001265</t>
  </si>
  <si>
    <t>LP001266</t>
  </si>
  <si>
    <t>LP001267</t>
  </si>
  <si>
    <t>LP001273</t>
  </si>
  <si>
    <t>LP001275</t>
  </si>
  <si>
    <t>LP001279</t>
  </si>
  <si>
    <t>LP001280</t>
  </si>
  <si>
    <t>LP001282</t>
  </si>
  <si>
    <t>LP001289</t>
  </si>
  <si>
    <t>LP001310</t>
  </si>
  <si>
    <t>LP001316</t>
  </si>
  <si>
    <t>LP001318</t>
  </si>
  <si>
    <t>LP001319</t>
  </si>
  <si>
    <t>LP001322</t>
  </si>
  <si>
    <t>LP001325</t>
  </si>
  <si>
    <t>LP001326</t>
  </si>
  <si>
    <t>LP001327</t>
  </si>
  <si>
    <t>LP001333</t>
  </si>
  <si>
    <t>LP001334</t>
  </si>
  <si>
    <t>LP001343</t>
  </si>
  <si>
    <t>LP001345</t>
  </si>
  <si>
    <t>LP001349</t>
  </si>
  <si>
    <t>LP001350</t>
  </si>
  <si>
    <t>LP001356</t>
  </si>
  <si>
    <t>LP001357</t>
  </si>
  <si>
    <t>LP001367</t>
  </si>
  <si>
    <t>LP001369</t>
  </si>
  <si>
    <t>LP001370</t>
  </si>
  <si>
    <t>LP001379</t>
  </si>
  <si>
    <t>LP001384</t>
  </si>
  <si>
    <t>LP001385</t>
  </si>
  <si>
    <t>LP001387</t>
  </si>
  <si>
    <t>LP001391</t>
  </si>
  <si>
    <t>LP001392</t>
  </si>
  <si>
    <t>LP001398</t>
  </si>
  <si>
    <t>LP001401</t>
  </si>
  <si>
    <t>LP001404</t>
  </si>
  <si>
    <t>LP001405</t>
  </si>
  <si>
    <t>LP001421</t>
  </si>
  <si>
    <t>LP001422</t>
  </si>
  <si>
    <t>LP001426</t>
  </si>
  <si>
    <t>LP001430</t>
  </si>
  <si>
    <t>LP001431</t>
  </si>
  <si>
    <t>LP001432</t>
  </si>
  <si>
    <t>LP001439</t>
  </si>
  <si>
    <t>LP001443</t>
  </si>
  <si>
    <t>LP001448</t>
  </si>
  <si>
    <t>LP001449</t>
  </si>
  <si>
    <t>LP001451</t>
  </si>
  <si>
    <t>LP001465</t>
  </si>
  <si>
    <t>LP001469</t>
  </si>
  <si>
    <t>LP001473</t>
  </si>
  <si>
    <t>LP001478</t>
  </si>
  <si>
    <t>LP001482</t>
  </si>
  <si>
    <t>LP001487</t>
  </si>
  <si>
    <t>LP001488</t>
  </si>
  <si>
    <t>LP001489</t>
  </si>
  <si>
    <t>LP001491</t>
  </si>
  <si>
    <t>LP001492</t>
  </si>
  <si>
    <t>LP001493</t>
  </si>
  <si>
    <t>LP001497</t>
  </si>
  <si>
    <t>LP001498</t>
  </si>
  <si>
    <t>LP001504</t>
  </si>
  <si>
    <t>LP001507</t>
  </si>
  <si>
    <t>LP001508</t>
  </si>
  <si>
    <t>LP001514</t>
  </si>
  <si>
    <t>LP001516</t>
  </si>
  <si>
    <t>LP001518</t>
  </si>
  <si>
    <t>LP001519</t>
  </si>
  <si>
    <t>LP001520</t>
  </si>
  <si>
    <t>LP001528</t>
  </si>
  <si>
    <t>LP001529</t>
  </si>
  <si>
    <t>LP001531</t>
  </si>
  <si>
    <t>LP001532</t>
  </si>
  <si>
    <t>LP001535</t>
  </si>
  <si>
    <t>LP001536</t>
  </si>
  <si>
    <t>LP001541</t>
  </si>
  <si>
    <t>LP001543</t>
  </si>
  <si>
    <t>LP001546</t>
  </si>
  <si>
    <t>LP001552</t>
  </si>
  <si>
    <t>LP001560</t>
  </si>
  <si>
    <t>LP001562</t>
  </si>
  <si>
    <t>LP001565</t>
  </si>
  <si>
    <t>LP001570</t>
  </si>
  <si>
    <t>LP001572</t>
  </si>
  <si>
    <t>LP001574</t>
  </si>
  <si>
    <t>LP001577</t>
  </si>
  <si>
    <t>LP001578</t>
  </si>
  <si>
    <t>LP001579</t>
  </si>
  <si>
    <t>LP001580</t>
  </si>
  <si>
    <t>LP001581</t>
  </si>
  <si>
    <t>LP001585</t>
  </si>
  <si>
    <t>LP001586</t>
  </si>
  <si>
    <t>LP001594</t>
  </si>
  <si>
    <t>LP001603</t>
  </si>
  <si>
    <t>LP001606</t>
  </si>
  <si>
    <t>LP001608</t>
  </si>
  <si>
    <t>LP001610</t>
  </si>
  <si>
    <t>LP001616</t>
  </si>
  <si>
    <t>LP001630</t>
  </si>
  <si>
    <t>LP001633</t>
  </si>
  <si>
    <t>LP001634</t>
  </si>
  <si>
    <t>LP001636</t>
  </si>
  <si>
    <t>LP001637</t>
  </si>
  <si>
    <t>LP001639</t>
  </si>
  <si>
    <t>LP001640</t>
  </si>
  <si>
    <t>LP001641</t>
  </si>
  <si>
    <t>LP001643</t>
  </si>
  <si>
    <t>LP001644</t>
  </si>
  <si>
    <t>LP001647</t>
  </si>
  <si>
    <t>LP001653</t>
  </si>
  <si>
    <t>LP001656</t>
  </si>
  <si>
    <t>LP001657</t>
  </si>
  <si>
    <t>LP001658</t>
  </si>
  <si>
    <t>LP001664</t>
  </si>
  <si>
    <t>LP001665</t>
  </si>
  <si>
    <t>LP001666</t>
  </si>
  <si>
    <t>LP001669</t>
  </si>
  <si>
    <t>LP001671</t>
  </si>
  <si>
    <t>LP001673</t>
  </si>
  <si>
    <t>LP001674</t>
  </si>
  <si>
    <t>LP001677</t>
  </si>
  <si>
    <t>LP001682</t>
  </si>
  <si>
    <t>LP001688</t>
  </si>
  <si>
    <t>LP001691</t>
  </si>
  <si>
    <t>LP001692</t>
  </si>
  <si>
    <t>LP001693</t>
  </si>
  <si>
    <t>LP001698</t>
  </si>
  <si>
    <t>LP001699</t>
  </si>
  <si>
    <t>LP001702</t>
  </si>
  <si>
    <t>LP001708</t>
  </si>
  <si>
    <t>LP001711</t>
  </si>
  <si>
    <t>LP001713</t>
  </si>
  <si>
    <t>LP001715</t>
  </si>
  <si>
    <t>LP001716</t>
  </si>
  <si>
    <t>LP001720</t>
  </si>
  <si>
    <t>LP001722</t>
  </si>
  <si>
    <t>LP001726</t>
  </si>
  <si>
    <t>LP001732</t>
  </si>
  <si>
    <t>LP001734</t>
  </si>
  <si>
    <t>LP001736</t>
  </si>
  <si>
    <t>LP001743</t>
  </si>
  <si>
    <t>LP001744</t>
  </si>
  <si>
    <t>LP001749</t>
  </si>
  <si>
    <t>LP001750</t>
  </si>
  <si>
    <t>LP001751</t>
  </si>
  <si>
    <t>LP001754</t>
  </si>
  <si>
    <t>LP001758</t>
  </si>
  <si>
    <t>LP001760</t>
  </si>
  <si>
    <t>LP001761</t>
  </si>
  <si>
    <t>LP001765</t>
  </si>
  <si>
    <t>LP001768</t>
  </si>
  <si>
    <t>LP001770</t>
  </si>
  <si>
    <t>LP001776</t>
  </si>
  <si>
    <t>LP001778</t>
  </si>
  <si>
    <t>LP001784</t>
  </si>
  <si>
    <t>LP001786</t>
  </si>
  <si>
    <t>LP001788</t>
  </si>
  <si>
    <t>LP001790</t>
  </si>
  <si>
    <t>LP001792</t>
  </si>
  <si>
    <t>LP001798</t>
  </si>
  <si>
    <t>LP001800</t>
  </si>
  <si>
    <t>LP001806</t>
  </si>
  <si>
    <t>LP001807</t>
  </si>
  <si>
    <t>LP001811</t>
  </si>
  <si>
    <t>LP001813</t>
  </si>
  <si>
    <t>LP001814</t>
  </si>
  <si>
    <t>LP001819</t>
  </si>
  <si>
    <t>LP001824</t>
  </si>
  <si>
    <t>LP001825</t>
  </si>
  <si>
    <t>LP001835</t>
  </si>
  <si>
    <t>LP001836</t>
  </si>
  <si>
    <t>LP001841</t>
  </si>
  <si>
    <t>LP001843</t>
  </si>
  <si>
    <t>LP001844</t>
  </si>
  <si>
    <t>LP001846</t>
  </si>
  <si>
    <t>LP001849</t>
  </si>
  <si>
    <t>LP001854</t>
  </si>
  <si>
    <t>LP001859</t>
  </si>
  <si>
    <t>LP001864</t>
  </si>
  <si>
    <t>LP001865</t>
  </si>
  <si>
    <t>LP001868</t>
  </si>
  <si>
    <t>LP001870</t>
  </si>
  <si>
    <t>LP001871</t>
  </si>
  <si>
    <t>LP001872</t>
  </si>
  <si>
    <t>LP001875</t>
  </si>
  <si>
    <t>LP001877</t>
  </si>
  <si>
    <t>LP001882</t>
  </si>
  <si>
    <t>LP001883</t>
  </si>
  <si>
    <t>LP001884</t>
  </si>
  <si>
    <t>LP001888</t>
  </si>
  <si>
    <t>LP001891</t>
  </si>
  <si>
    <t>LP001892</t>
  </si>
  <si>
    <t>LP001894</t>
  </si>
  <si>
    <t>LP001896</t>
  </si>
  <si>
    <t>LP001900</t>
  </si>
  <si>
    <t>LP001903</t>
  </si>
  <si>
    <t>LP001904</t>
  </si>
  <si>
    <t>LP001907</t>
  </si>
  <si>
    <t>LP001908</t>
  </si>
  <si>
    <t>LP001910</t>
  </si>
  <si>
    <t>LP001914</t>
  </si>
  <si>
    <t>LP001915</t>
  </si>
  <si>
    <t>LP001917</t>
  </si>
  <si>
    <t>LP001922</t>
  </si>
  <si>
    <t>LP001924</t>
  </si>
  <si>
    <t>LP001925</t>
  </si>
  <si>
    <t>LP001926</t>
  </si>
  <si>
    <t>LP001931</t>
  </si>
  <si>
    <t>LP001935</t>
  </si>
  <si>
    <t>LP001936</t>
  </si>
  <si>
    <t>LP001938</t>
  </si>
  <si>
    <t>LP001940</t>
  </si>
  <si>
    <t>LP001945</t>
  </si>
  <si>
    <t>LP001947</t>
  </si>
  <si>
    <t>LP001949</t>
  </si>
  <si>
    <t>LP001953</t>
  </si>
  <si>
    <t>LP001954</t>
  </si>
  <si>
    <t>LP001955</t>
  </si>
  <si>
    <t>LP001963</t>
  </si>
  <si>
    <t>LP001964</t>
  </si>
  <si>
    <t>LP001972</t>
  </si>
  <si>
    <t>LP001974</t>
  </si>
  <si>
    <t>LP001977</t>
  </si>
  <si>
    <t>LP001978</t>
  </si>
  <si>
    <t>LP001990</t>
  </si>
  <si>
    <t>LP001993</t>
  </si>
  <si>
    <t>LP001994</t>
  </si>
  <si>
    <t>LP001996</t>
  </si>
  <si>
    <t>LP001998</t>
  </si>
  <si>
    <t>LP002002</t>
  </si>
  <si>
    <t>LP002004</t>
  </si>
  <si>
    <t>LP002006</t>
  </si>
  <si>
    <t>LP002008</t>
  </si>
  <si>
    <t>LP002024</t>
  </si>
  <si>
    <t>LP002031</t>
  </si>
  <si>
    <t>LP002035</t>
  </si>
  <si>
    <t>LP002036</t>
  </si>
  <si>
    <t>LP002043</t>
  </si>
  <si>
    <t>LP002050</t>
  </si>
  <si>
    <t>LP002051</t>
  </si>
  <si>
    <t>LP002053</t>
  </si>
  <si>
    <t>LP002054</t>
  </si>
  <si>
    <t>LP002055</t>
  </si>
  <si>
    <t>LP002065</t>
  </si>
  <si>
    <t>LP002067</t>
  </si>
  <si>
    <t>LP002068</t>
  </si>
  <si>
    <t>LP002082</t>
  </si>
  <si>
    <t>LP002086</t>
  </si>
  <si>
    <t>LP002087</t>
  </si>
  <si>
    <t>LP002097</t>
  </si>
  <si>
    <t>LP002098</t>
  </si>
  <si>
    <t>LP002100</t>
  </si>
  <si>
    <t>LP002101</t>
  </si>
  <si>
    <t>LP002103</t>
  </si>
  <si>
    <t>LP002106</t>
  </si>
  <si>
    <t>LP002110</t>
  </si>
  <si>
    <t>LP002112</t>
  </si>
  <si>
    <t>LP002113</t>
  </si>
  <si>
    <t>LP002114</t>
  </si>
  <si>
    <t>LP002115</t>
  </si>
  <si>
    <t>LP002116</t>
  </si>
  <si>
    <t>LP002119</t>
  </si>
  <si>
    <t>LP002126</t>
  </si>
  <si>
    <t>LP002128</t>
  </si>
  <si>
    <t>LP002129</t>
  </si>
  <si>
    <t>LP002130</t>
  </si>
  <si>
    <t>LP002131</t>
  </si>
  <si>
    <t>LP002137</t>
  </si>
  <si>
    <t>LP002138</t>
  </si>
  <si>
    <t>LP002139</t>
  </si>
  <si>
    <t>LP002140</t>
  </si>
  <si>
    <t>LP002141</t>
  </si>
  <si>
    <t>LP002142</t>
  </si>
  <si>
    <t>LP002143</t>
  </si>
  <si>
    <t>LP002144</t>
  </si>
  <si>
    <t>LP002149</t>
  </si>
  <si>
    <t>LP002151</t>
  </si>
  <si>
    <t>LP002158</t>
  </si>
  <si>
    <t>LP002160</t>
  </si>
  <si>
    <t>LP002161</t>
  </si>
  <si>
    <t>LP002170</t>
  </si>
  <si>
    <t>LP002175</t>
  </si>
  <si>
    <t>LP002178</t>
  </si>
  <si>
    <t>LP002180</t>
  </si>
  <si>
    <t>LP002181</t>
  </si>
  <si>
    <t>LP002187</t>
  </si>
  <si>
    <t>LP002188</t>
  </si>
  <si>
    <t>LP002190</t>
  </si>
  <si>
    <t>LP002191</t>
  </si>
  <si>
    <t>LP002194</t>
  </si>
  <si>
    <t>LP002197</t>
  </si>
  <si>
    <t>LP002201</t>
  </si>
  <si>
    <t>LP002205</t>
  </si>
  <si>
    <t>LP002209</t>
  </si>
  <si>
    <t>LP002211</t>
  </si>
  <si>
    <t>LP002219</t>
  </si>
  <si>
    <t>LP002223</t>
  </si>
  <si>
    <t>LP002224</t>
  </si>
  <si>
    <t>LP002225</t>
  </si>
  <si>
    <t>LP002226</t>
  </si>
  <si>
    <t>LP002229</t>
  </si>
  <si>
    <t>LP002231</t>
  </si>
  <si>
    <t>LP002234</t>
  </si>
  <si>
    <t>LP002236</t>
  </si>
  <si>
    <t>LP002237</t>
  </si>
  <si>
    <t>LP002239</t>
  </si>
  <si>
    <t>LP002243</t>
  </si>
  <si>
    <t>LP002244</t>
  </si>
  <si>
    <t>LP002250</t>
  </si>
  <si>
    <t>LP002255</t>
  </si>
  <si>
    <t>LP002262</t>
  </si>
  <si>
    <t>LP002263</t>
  </si>
  <si>
    <t>LP002265</t>
  </si>
  <si>
    <t>LP002266</t>
  </si>
  <si>
    <t>LP002272</t>
  </si>
  <si>
    <t>LP002277</t>
  </si>
  <si>
    <t>LP002281</t>
  </si>
  <si>
    <t>LP002284</t>
  </si>
  <si>
    <t>LP002287</t>
  </si>
  <si>
    <t>LP002288</t>
  </si>
  <si>
    <t>LP002296</t>
  </si>
  <si>
    <t>LP002297</t>
  </si>
  <si>
    <t>LP002300</t>
  </si>
  <si>
    <t>LP002301</t>
  </si>
  <si>
    <t>LP002305</t>
  </si>
  <si>
    <t>LP002308</t>
  </si>
  <si>
    <t>LP002314</t>
  </si>
  <si>
    <t>LP002315</t>
  </si>
  <si>
    <t>LP002317</t>
  </si>
  <si>
    <t>LP002318</t>
  </si>
  <si>
    <t>LP002319</t>
  </si>
  <si>
    <t>LP002328</t>
  </si>
  <si>
    <t>LP002332</t>
  </si>
  <si>
    <t>LP002335</t>
  </si>
  <si>
    <t>LP002337</t>
  </si>
  <si>
    <t>LP002341</t>
  </si>
  <si>
    <t>LP002342</t>
  </si>
  <si>
    <t>LP002345</t>
  </si>
  <si>
    <t>LP002347</t>
  </si>
  <si>
    <t>LP002348</t>
  </si>
  <si>
    <t>LP002357</t>
  </si>
  <si>
    <t>LP002361</t>
  </si>
  <si>
    <t>LP002362</t>
  </si>
  <si>
    <t>LP002364</t>
  </si>
  <si>
    <t>LP002366</t>
  </si>
  <si>
    <t>LP002367</t>
  </si>
  <si>
    <t>LP002368</t>
  </si>
  <si>
    <t>LP002369</t>
  </si>
  <si>
    <t>LP002370</t>
  </si>
  <si>
    <t>LP002377</t>
  </si>
  <si>
    <t>LP002379</t>
  </si>
  <si>
    <t>LP002386</t>
  </si>
  <si>
    <t>LP002387</t>
  </si>
  <si>
    <t>LP002390</t>
  </si>
  <si>
    <t>LP002393</t>
  </si>
  <si>
    <t>LP002398</t>
  </si>
  <si>
    <t>LP002401</t>
  </si>
  <si>
    <t>LP002403</t>
  </si>
  <si>
    <t>LP002407</t>
  </si>
  <si>
    <t>LP002408</t>
  </si>
  <si>
    <t>LP002409</t>
  </si>
  <si>
    <t>LP002418</t>
  </si>
  <si>
    <t>LP002422</t>
  </si>
  <si>
    <t>LP002424</t>
  </si>
  <si>
    <t>LP002429</t>
  </si>
  <si>
    <t>LP002434</t>
  </si>
  <si>
    <t>LP002435</t>
  </si>
  <si>
    <t>LP002443</t>
  </si>
  <si>
    <t>LP002444</t>
  </si>
  <si>
    <t>LP002446</t>
  </si>
  <si>
    <t>LP002447</t>
  </si>
  <si>
    <t>LP002448</t>
  </si>
  <si>
    <t>LP002449</t>
  </si>
  <si>
    <t>LP002453</t>
  </si>
  <si>
    <t>LP002455</t>
  </si>
  <si>
    <t>LP002459</t>
  </si>
  <si>
    <t>LP002467</t>
  </si>
  <si>
    <t>LP002472</t>
  </si>
  <si>
    <t>LP002473</t>
  </si>
  <si>
    <t>LP002478</t>
  </si>
  <si>
    <t>LP002484</t>
  </si>
  <si>
    <t>LP002487</t>
  </si>
  <si>
    <t>LP002489</t>
  </si>
  <si>
    <t>LP002493</t>
  </si>
  <si>
    <t>LP002494</t>
  </si>
  <si>
    <t>LP002500</t>
  </si>
  <si>
    <t>LP002501</t>
  </si>
  <si>
    <t>LP002502</t>
  </si>
  <si>
    <t>LP002505</t>
  </si>
  <si>
    <t>LP002515</t>
  </si>
  <si>
    <t>LP002517</t>
  </si>
  <si>
    <t>LP002519</t>
  </si>
  <si>
    <t>LP002522</t>
  </si>
  <si>
    <t>LP002524</t>
  </si>
  <si>
    <t>LP002527</t>
  </si>
  <si>
    <t>LP002529</t>
  </si>
  <si>
    <t>LP002530</t>
  </si>
  <si>
    <t>LP002531</t>
  </si>
  <si>
    <t>LP002533</t>
  </si>
  <si>
    <t>LP002534</t>
  </si>
  <si>
    <t>LP002536</t>
  </si>
  <si>
    <t>LP002537</t>
  </si>
  <si>
    <t>LP002541</t>
  </si>
  <si>
    <t>LP002543</t>
  </si>
  <si>
    <t>LP002544</t>
  </si>
  <si>
    <t>LP002545</t>
  </si>
  <si>
    <t>LP002547</t>
  </si>
  <si>
    <t>LP002555</t>
  </si>
  <si>
    <t>LP002556</t>
  </si>
  <si>
    <t>LP002560</t>
  </si>
  <si>
    <t>LP002562</t>
  </si>
  <si>
    <t>LP002571</t>
  </si>
  <si>
    <t>LP002582</t>
  </si>
  <si>
    <t>LP002585</t>
  </si>
  <si>
    <t>LP002586</t>
  </si>
  <si>
    <t>LP002587</t>
  </si>
  <si>
    <t>LP002588</t>
  </si>
  <si>
    <t>LP002600</t>
  </si>
  <si>
    <t>LP002602</t>
  </si>
  <si>
    <t>LP002603</t>
  </si>
  <si>
    <t>LP002606</t>
  </si>
  <si>
    <t>LP002615</t>
  </si>
  <si>
    <t>LP002618</t>
  </si>
  <si>
    <t>LP002619</t>
  </si>
  <si>
    <t>LP002622</t>
  </si>
  <si>
    <t>LP002624</t>
  </si>
  <si>
    <t>LP002625</t>
  </si>
  <si>
    <t>LP002626</t>
  </si>
  <si>
    <t>LP002634</t>
  </si>
  <si>
    <t>LP002637</t>
  </si>
  <si>
    <t>LP002640</t>
  </si>
  <si>
    <t>LP002643</t>
  </si>
  <si>
    <t>LP002648</t>
  </si>
  <si>
    <t>LP002652</t>
  </si>
  <si>
    <t>LP002659</t>
  </si>
  <si>
    <t>LP002670</t>
  </si>
  <si>
    <t>LP002682</t>
  </si>
  <si>
    <t>LP002683</t>
  </si>
  <si>
    <t>LP002684</t>
  </si>
  <si>
    <t>LP002689</t>
  </si>
  <si>
    <t>LP002690</t>
  </si>
  <si>
    <t>LP002692</t>
  </si>
  <si>
    <t>LP002693</t>
  </si>
  <si>
    <t>LP002697</t>
  </si>
  <si>
    <t>LP002699</t>
  </si>
  <si>
    <t>LP002705</t>
  </si>
  <si>
    <t>LP002706</t>
  </si>
  <si>
    <t>LP002714</t>
  </si>
  <si>
    <t>LP002716</t>
  </si>
  <si>
    <t>LP002717</t>
  </si>
  <si>
    <t>LP002720</t>
  </si>
  <si>
    <t>LP002723</t>
  </si>
  <si>
    <t>LP002729</t>
  </si>
  <si>
    <t>LP002731</t>
  </si>
  <si>
    <t>LP002732</t>
  </si>
  <si>
    <t>LP002734</t>
  </si>
  <si>
    <t>LP002738</t>
  </si>
  <si>
    <t>LP002739</t>
  </si>
  <si>
    <t>LP002740</t>
  </si>
  <si>
    <t>LP002741</t>
  </si>
  <si>
    <t>LP002743</t>
  </si>
  <si>
    <t>LP002753</t>
  </si>
  <si>
    <t>LP002755</t>
  </si>
  <si>
    <t>LP002757</t>
  </si>
  <si>
    <t>LP002767</t>
  </si>
  <si>
    <t>LP002768</t>
  </si>
  <si>
    <t>LP002772</t>
  </si>
  <si>
    <t>LP002776</t>
  </si>
  <si>
    <t>LP002777</t>
  </si>
  <si>
    <t>LP002778</t>
  </si>
  <si>
    <t>LP002784</t>
  </si>
  <si>
    <t>LP002785</t>
  </si>
  <si>
    <t>LP002788</t>
  </si>
  <si>
    <t>LP002789</t>
  </si>
  <si>
    <t>LP002792</t>
  </si>
  <si>
    <t>LP002794</t>
  </si>
  <si>
    <t>LP002795</t>
  </si>
  <si>
    <t>LP002798</t>
  </si>
  <si>
    <t>LP002804</t>
  </si>
  <si>
    <t>LP002807</t>
  </si>
  <si>
    <t>LP002813</t>
  </si>
  <si>
    <t>LP002820</t>
  </si>
  <si>
    <t>LP002821</t>
  </si>
  <si>
    <t>LP002832</t>
  </si>
  <si>
    <t>LP002833</t>
  </si>
  <si>
    <t>LP002836</t>
  </si>
  <si>
    <t>LP002837</t>
  </si>
  <si>
    <t>LP002840</t>
  </si>
  <si>
    <t>LP002841</t>
  </si>
  <si>
    <t>LP002842</t>
  </si>
  <si>
    <t>LP002847</t>
  </si>
  <si>
    <t>LP002855</t>
  </si>
  <si>
    <t>LP002862</t>
  </si>
  <si>
    <t>LP002863</t>
  </si>
  <si>
    <t>LP002868</t>
  </si>
  <si>
    <t>LP002872</t>
  </si>
  <si>
    <t>LP002874</t>
  </si>
  <si>
    <t>LP002877</t>
  </si>
  <si>
    <t>LP002888</t>
  </si>
  <si>
    <t>LP002892</t>
  </si>
  <si>
    <t>LP002893</t>
  </si>
  <si>
    <t>LP002894</t>
  </si>
  <si>
    <t>LP002898</t>
  </si>
  <si>
    <t>LP002911</t>
  </si>
  <si>
    <t>LP002912</t>
  </si>
  <si>
    <t>LP002916</t>
  </si>
  <si>
    <t>LP002917</t>
  </si>
  <si>
    <t>LP002925</t>
  </si>
  <si>
    <t>LP002926</t>
  </si>
  <si>
    <t>LP002928</t>
  </si>
  <si>
    <t>LP002931</t>
  </si>
  <si>
    <t>LP002933</t>
  </si>
  <si>
    <t>LP002936</t>
  </si>
  <si>
    <t>LP002938</t>
  </si>
  <si>
    <t>LP002940</t>
  </si>
  <si>
    <t>LP002941</t>
  </si>
  <si>
    <t>LP002943</t>
  </si>
  <si>
    <t>LP002945</t>
  </si>
  <si>
    <t>LP002948</t>
  </si>
  <si>
    <t>LP002949</t>
  </si>
  <si>
    <t>LP002950</t>
  </si>
  <si>
    <t>LP002953</t>
  </si>
  <si>
    <t>LP002958</t>
  </si>
  <si>
    <t>LP002959</t>
  </si>
  <si>
    <t>LP002960</t>
  </si>
  <si>
    <t>LP002961</t>
  </si>
  <si>
    <t>LP002964</t>
  </si>
  <si>
    <t>LP002974</t>
  </si>
  <si>
    <t>LP002978</t>
  </si>
  <si>
    <t>LP002979</t>
  </si>
  <si>
    <t>LP002983</t>
  </si>
  <si>
    <t>LP002984</t>
  </si>
  <si>
    <t>LP002990</t>
  </si>
  <si>
    <t>Applicant Income</t>
  </si>
  <si>
    <t>Co-applicant Income</t>
  </si>
  <si>
    <t>Loan Amount</t>
  </si>
  <si>
    <t>Total Income</t>
  </si>
  <si>
    <t>Income Band</t>
  </si>
  <si>
    <t>Loan Amount Band</t>
  </si>
  <si>
    <t>Loan to Income Ratio</t>
  </si>
  <si>
    <t>Approval Flag</t>
  </si>
  <si>
    <t>Area Code</t>
  </si>
  <si>
    <t>Row Labels</t>
  </si>
  <si>
    <t>Grand Total</t>
  </si>
  <si>
    <t>Count of Approval Flag</t>
  </si>
  <si>
    <t>Loan Sales &amp; Approval Insights Dashboard</t>
  </si>
  <si>
    <t>KPI Card</t>
  </si>
  <si>
    <t>KPI Summary</t>
  </si>
  <si>
    <t>Credit History Effect</t>
  </si>
  <si>
    <t>Approval Rate</t>
  </si>
  <si>
    <t>Avg. Loan Amount (Approved)</t>
  </si>
  <si>
    <t>Avg. Applicant Income</t>
  </si>
  <si>
    <t>Top Performing Property Area</t>
  </si>
  <si>
    <t>Core Insights</t>
  </si>
  <si>
    <t>Property Area</t>
  </si>
  <si>
    <t>Credit History</t>
  </si>
  <si>
    <t>Loan Status</t>
  </si>
  <si>
    <t>Household Income</t>
  </si>
  <si>
    <t>Loan approval rate by gender</t>
  </si>
  <si>
    <t>Loan approval rate by education</t>
  </si>
  <si>
    <t>Loan approval rate by marital status</t>
  </si>
  <si>
    <t>Loan approval rate by property area</t>
  </si>
  <si>
    <t>Loan approval rate by employment status</t>
  </si>
  <si>
    <t>Credit effect</t>
  </si>
  <si>
    <t>w/o</t>
  </si>
  <si>
    <t xml:space="preserve">w  </t>
  </si>
  <si>
    <t>Marital status</t>
  </si>
  <si>
    <t>Average of Loan Amount</t>
  </si>
  <si>
    <t>ApplicantIncome</t>
  </si>
  <si>
    <t>(All)</t>
  </si>
  <si>
    <t>0-1999</t>
  </si>
  <si>
    <t>2000-3999</t>
  </si>
  <si>
    <t>4000-5999</t>
  </si>
  <si>
    <t>6000-7999</t>
  </si>
  <si>
    <t>8000-9999</t>
  </si>
  <si>
    <t>10000-11999</t>
  </si>
  <si>
    <t>12000-13999</t>
  </si>
  <si>
    <t>14000-15999</t>
  </si>
  <si>
    <t>16000-17999</t>
  </si>
  <si>
    <t>18000-19999</t>
  </si>
  <si>
    <t>20000-21999</t>
  </si>
  <si>
    <t>22000-23999</t>
  </si>
  <si>
    <t>32000-33999</t>
  </si>
  <si>
    <t>36000-37999</t>
  </si>
  <si>
    <t>38000-39999</t>
  </si>
  <si>
    <t>50000-51999</t>
  </si>
  <si>
    <t>62000-63999</t>
  </si>
  <si>
    <t>80000-81999</t>
  </si>
  <si>
    <t>Count of Loan_ID</t>
  </si>
  <si>
    <t>Sum of Approval Flag</t>
  </si>
  <si>
    <t>Average of Approval Flag</t>
  </si>
  <si>
    <t>Approval_Rate</t>
  </si>
  <si>
    <t>Approval-Rate</t>
  </si>
  <si>
    <t>Avg. Loan Amount</t>
  </si>
  <si>
    <t>Medium</t>
  </si>
  <si>
    <t>High</t>
  </si>
  <si>
    <t>Low</t>
  </si>
  <si>
    <t>No Credit History</t>
  </si>
  <si>
    <t>Has Credit History</t>
  </si>
  <si>
    <t>% of Approval</t>
  </si>
  <si>
    <t>3+</t>
  </si>
  <si>
    <t>Short Term</t>
  </si>
  <si>
    <t>Medium Term</t>
  </si>
  <si>
    <t>Long Term</t>
  </si>
  <si>
    <t>Customer Persona Heatmap - Approval Rate by Education, Credit History &amp; Property Area</t>
  </si>
  <si>
    <t xml:space="preserve">No Credit </t>
  </si>
  <si>
    <t xml:space="preserve">Has Credit </t>
  </si>
  <si>
    <t>No Credit</t>
  </si>
  <si>
    <t>Has Credit</t>
  </si>
  <si>
    <t>Customer Persona Heatmap - App. Rate by Education, Credit History &amp; Area</t>
  </si>
  <si>
    <t>Quick Insights: Urban graduates lead in approval rates by 78%. Credit history boosts approval by 21.62%. Families with 2 dependents have higher approval rate - revealing them as the most creditworthy customer persona.</t>
  </si>
  <si>
    <t xml:space="preserve">Eveline Wasonga | </t>
  </si>
  <si>
    <t>Dashboard Created by</t>
  </si>
  <si>
    <t xml:space="preserve"> | Updated: 23-Oct-2025 | Source: Kaggle.com, Loan_Train.csv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</si>
</sst>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_(&quot;$&quot;* #,##0_);_(&quot;$&quot;* \(#,##0\);_(&quot;$&quot;* &quot;-&quot;??_);_(@_)"/>
    <numFmt numFmtId="165" formatCode="0.0%"/>
    <numFmt numFmtId="166" formatCode="&quot;$&quot;#,##0.00"/>
    <numFmt numFmtId="167" formatCode="&quot;$&quot;#,##0"/>
  </numFmts>
  <fonts count="16" x14ac:knownFonts="1">
    <font>
      <sz val="11"/>
      <color theme="1"/>
      <name val="Tw Cen MT"/>
      <family val="2"/>
      <scheme val="minor"/>
    </font>
    <font>
      <sz val="11"/>
      <color theme="1"/>
      <name val="Tw Cen MT"/>
      <family val="2"/>
      <scheme val="minor"/>
    </font>
    <font>
      <b/>
      <sz val="11"/>
      <color theme="1"/>
      <name val="Tw Cen MT"/>
      <family val="2"/>
      <scheme val="minor"/>
    </font>
    <font>
      <sz val="11"/>
      <color theme="0"/>
      <name val="Tw Cen MT"/>
      <family val="2"/>
      <scheme val="minor"/>
    </font>
    <font>
      <b/>
      <sz val="14"/>
      <color theme="1"/>
      <name val="Tw Cen MT"/>
      <family val="2"/>
      <scheme val="minor"/>
    </font>
    <font>
      <b/>
      <sz val="26"/>
      <color theme="0"/>
      <name val="Tw Cen MT Condensed"/>
      <family val="2"/>
      <scheme val="major"/>
    </font>
    <font>
      <sz val="11"/>
      <color theme="1"/>
      <name val="Tw Cen MT Condensed"/>
      <family val="2"/>
      <scheme val="major"/>
    </font>
    <font>
      <b/>
      <sz val="14"/>
      <color theme="0"/>
      <name val="Tw Cen MT Condensed"/>
      <family val="2"/>
      <scheme val="major"/>
    </font>
    <font>
      <b/>
      <sz val="30"/>
      <color theme="1"/>
      <name val="Tw Cen MT Condensed"/>
      <family val="2"/>
      <scheme val="major"/>
    </font>
    <font>
      <b/>
      <sz val="14"/>
      <color theme="1"/>
      <name val="Tw Cen MT Condensed"/>
      <family val="2"/>
      <scheme val="major"/>
    </font>
    <font>
      <sz val="12"/>
      <color theme="0"/>
      <name val="Tw Cen MT"/>
      <family val="2"/>
      <scheme val="minor"/>
    </font>
    <font>
      <sz val="12"/>
      <color theme="1"/>
      <name val="Tw Cen MT"/>
      <family val="2"/>
      <scheme val="minor"/>
    </font>
    <font>
      <b/>
      <sz val="14"/>
      <name val="Tw Cen MT"/>
      <family val="2"/>
      <scheme val="minor"/>
    </font>
    <font>
      <b/>
      <sz val="14"/>
      <name val="Tw Cen MT Condensed"/>
      <family val="2"/>
      <scheme val="major"/>
    </font>
    <font>
      <u/>
      <sz val="11"/>
      <color theme="10"/>
      <name val="Tw Cen MT"/>
      <family val="2"/>
      <scheme val="minor"/>
    </font>
    <font>
      <sz val="14"/>
      <color theme="0"/>
      <name val="Tw Cen MT"/>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3" tint="0.249977111117893"/>
        <bgColor indexed="64"/>
      </patternFill>
    </fill>
    <fill>
      <patternFill patternType="solid">
        <fgColor theme="3" tint="0.749992370372631"/>
        <bgColor indexed="64"/>
      </patternFill>
    </fill>
  </fills>
  <borders count="12">
    <border>
      <left/>
      <right/>
      <top/>
      <bottom/>
      <diagonal/>
    </border>
    <border>
      <left style="medium">
        <color indexed="64"/>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bottom style="thin">
        <color theme="4" tint="0.39997558519241921"/>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14" fillId="0" borderId="0" applyNumberFormat="0" applyFill="0" applyBorder="0" applyAlignment="0" applyProtection="0"/>
  </cellStyleXfs>
  <cellXfs count="55">
    <xf numFmtId="0" fontId="0" fillId="0" borderId="0" xfId="0"/>
    <xf numFmtId="0" fontId="0" fillId="0" borderId="0" xfId="0" pivotButton="1"/>
    <xf numFmtId="0" fontId="0" fillId="0" borderId="0" xfId="0" applyAlignment="1">
      <alignment horizontal="left"/>
    </xf>
    <xf numFmtId="164" fontId="0" fillId="0" borderId="0" xfId="1" applyNumberFormat="1" applyFont="1"/>
    <xf numFmtId="2" fontId="0" fillId="0" borderId="0" xfId="0" applyNumberForma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9" fontId="0" fillId="0" borderId="0" xfId="0" applyNumberFormat="1"/>
    <xf numFmtId="0" fontId="2" fillId="2" borderId="11" xfId="0" applyFont="1" applyFill="1" applyBorder="1"/>
    <xf numFmtId="164" fontId="0" fillId="0" borderId="0" xfId="0" applyNumberFormat="1" applyAlignment="1">
      <alignment horizontal="left"/>
    </xf>
    <xf numFmtId="0" fontId="0" fillId="0" borderId="0" xfId="0" applyNumberFormat="1"/>
    <xf numFmtId="166" fontId="0" fillId="0" borderId="0" xfId="0" applyNumberFormat="1"/>
    <xf numFmtId="1" fontId="0" fillId="0" borderId="0" xfId="0" applyNumberFormat="1"/>
    <xf numFmtId="9" fontId="0" fillId="0" borderId="0" xfId="2" applyNumberFormat="1" applyFont="1"/>
    <xf numFmtId="0" fontId="0" fillId="3" borderId="0" xfId="0" applyFill="1"/>
    <xf numFmtId="0" fontId="10" fillId="3" borderId="0" xfId="0" applyFont="1" applyFill="1"/>
    <xf numFmtId="0" fontId="8" fillId="4" borderId="0" xfId="0" applyFont="1" applyFill="1" applyBorder="1" applyAlignment="1">
      <alignment horizontal="center"/>
    </xf>
    <xf numFmtId="0" fontId="6" fillId="4" borderId="0" xfId="0" applyFont="1" applyFill="1"/>
    <xf numFmtId="0" fontId="0" fillId="4" borderId="0" xfId="0" applyFill="1"/>
    <xf numFmtId="0" fontId="4" fillId="4" borderId="0" xfId="0" applyFont="1" applyFill="1"/>
    <xf numFmtId="0" fontId="2" fillId="4" borderId="0" xfId="0" applyFont="1" applyFill="1" applyAlignment="1">
      <alignment horizontal="center"/>
    </xf>
    <xf numFmtId="0" fontId="0" fillId="4" borderId="0" xfId="0" applyFill="1" applyAlignment="1">
      <alignment horizontal="center"/>
    </xf>
    <xf numFmtId="0" fontId="2" fillId="4" borderId="0" xfId="0" applyFont="1" applyFill="1"/>
    <xf numFmtId="0" fontId="2" fillId="4" borderId="11" xfId="0" applyFont="1" applyFill="1" applyBorder="1"/>
    <xf numFmtId="0" fontId="0" fillId="4" borderId="0" xfId="0" applyFill="1" applyAlignment="1">
      <alignment horizontal="left"/>
    </xf>
    <xf numFmtId="9" fontId="0" fillId="4" borderId="0" xfId="0" applyNumberFormat="1" applyFill="1"/>
    <xf numFmtId="0" fontId="7" fillId="4" borderId="0" xfId="0" applyFont="1" applyFill="1" applyBorder="1" applyAlignment="1">
      <alignment horizontal="center"/>
    </xf>
    <xf numFmtId="0" fontId="12" fillId="4" borderId="0" xfId="0" applyFont="1" applyFill="1" applyAlignment="1">
      <alignment horizontal="center" textRotation="90"/>
    </xf>
    <xf numFmtId="0" fontId="0" fillId="0" borderId="0" xfId="0" applyFill="1"/>
    <xf numFmtId="0" fontId="14" fillId="0" borderId="0" xfId="3" applyFill="1"/>
    <xf numFmtId="0" fontId="10" fillId="3" borderId="0" xfId="0" applyFont="1" applyFill="1"/>
    <xf numFmtId="0" fontId="9" fillId="4" borderId="0" xfId="0" applyFont="1" applyFill="1"/>
    <xf numFmtId="0" fontId="3" fillId="3" borderId="0" xfId="0" applyFont="1" applyFill="1"/>
    <xf numFmtId="0" fontId="0" fillId="0" borderId="0" xfId="0" applyFill="1" applyAlignment="1">
      <alignment horizontal="center"/>
    </xf>
    <xf numFmtId="0" fontId="4" fillId="0" borderId="0" xfId="0" applyFont="1" applyFill="1" applyAlignment="1">
      <alignment horizontal="center"/>
    </xf>
    <xf numFmtId="10" fontId="4" fillId="0" borderId="0" xfId="2" applyNumberFormat="1" applyFont="1" applyFill="1" applyAlignment="1">
      <alignment horizontal="center"/>
    </xf>
    <xf numFmtId="166" fontId="4" fillId="0" borderId="0" xfId="1" applyNumberFormat="1" applyFont="1" applyFill="1" applyAlignment="1">
      <alignment horizontal="center"/>
    </xf>
    <xf numFmtId="166" fontId="4" fillId="0" borderId="0" xfId="0" applyNumberFormat="1" applyFont="1" applyFill="1" applyAlignment="1">
      <alignment horizontal="center"/>
    </xf>
    <xf numFmtId="167" fontId="0" fillId="0" borderId="0" xfId="0" applyNumberFormat="1" applyFill="1" applyAlignment="1">
      <alignment horizontal="center"/>
    </xf>
    <xf numFmtId="0" fontId="2" fillId="4" borderId="0" xfId="0" applyFont="1" applyFill="1" applyAlignment="1">
      <alignment horizontal="center"/>
    </xf>
    <xf numFmtId="0" fontId="5" fillId="3" borderId="1" xfId="0" applyFont="1" applyFill="1" applyBorder="1" applyAlignment="1">
      <alignment horizontal="left"/>
    </xf>
    <xf numFmtId="0" fontId="5" fillId="3" borderId="0" xfId="0" applyFont="1" applyFill="1" applyBorder="1" applyAlignment="1">
      <alignment horizontal="left"/>
    </xf>
    <xf numFmtId="165" fontId="4" fillId="0" borderId="0" xfId="2" applyNumberFormat="1" applyFont="1" applyFill="1" applyAlignment="1">
      <alignment horizontal="center"/>
    </xf>
    <xf numFmtId="0" fontId="13" fillId="4" borderId="0" xfId="0" applyFont="1" applyFill="1" applyBorder="1" applyAlignment="1">
      <alignment horizontal="center"/>
    </xf>
    <xf numFmtId="0" fontId="11" fillId="0" borderId="0" xfId="0" applyFont="1" applyFill="1"/>
    <xf numFmtId="0" fontId="2" fillId="0" borderId="0" xfId="0" applyFont="1" applyAlignment="1">
      <alignment horizontal="center"/>
    </xf>
    <xf numFmtId="0" fontId="15" fillId="3" borderId="0" xfId="0" applyFont="1" applyFill="1"/>
    <xf numFmtId="0" fontId="7" fillId="3" borderId="0" xfId="0" applyFont="1" applyFill="1" applyBorder="1" applyAlignment="1">
      <alignment horizontal="center"/>
    </xf>
  </cellXfs>
  <cellStyles count="4">
    <cellStyle name="Currency" xfId="1" builtinId="4"/>
    <cellStyle name="Hyperlink" xfId="3" builtinId="8"/>
    <cellStyle name="Normal" xfId="0" builtinId="0"/>
    <cellStyle name="Percent" xfId="2" builtinId="5"/>
  </cellStyles>
  <dxfs count="24">
    <dxf>
      <numFmt numFmtId="13" formatCode="0%"/>
    </dxf>
    <dxf>
      <numFmt numFmtId="13" formatCode="0%"/>
    </dxf>
    <dxf>
      <numFmt numFmtId="166" formatCode="&quot;$&quot;#,##0.00"/>
    </dxf>
    <dxf>
      <numFmt numFmtId="166" formatCode="&quot;$&quot;#,##0.00"/>
    </dxf>
    <dxf>
      <numFmt numFmtId="13" formatCode="0%"/>
    </dxf>
    <dxf>
      <numFmt numFmtId="166" formatCode="&quot;$&quot;#,##0.00"/>
    </dxf>
    <dxf>
      <numFmt numFmtId="166" formatCode="&quot;$&quot;#,##0.00"/>
    </dxf>
    <dxf>
      <numFmt numFmtId="13" formatCode="0%"/>
    </dxf>
    <dxf>
      <numFmt numFmtId="13" formatCode="0%"/>
    </dxf>
    <dxf>
      <font>
        <b val="0"/>
        <i val="0"/>
        <strike val="0"/>
        <condense val="0"/>
        <extend val="0"/>
        <outline val="0"/>
        <shadow val="0"/>
        <u val="none"/>
        <vertAlign val="baseline"/>
        <sz val="11"/>
        <color theme="1"/>
        <name val="Tw Cen MT"/>
        <family val="2"/>
        <scheme val="minor"/>
      </font>
      <numFmt numFmtId="13" formatCode="0%"/>
    </dxf>
    <dxf>
      <numFmt numFmtId="166" formatCode="&quot;$&quot;#,##0.00"/>
    </dxf>
    <dxf>
      <numFmt numFmtId="164" formatCode="_(&quot;$&quot;* #,##0_);_(&quot;$&quot;* \(#,##0\);_(&quot;$&quot;* &quot;-&quot;??_);_(@_)"/>
      <alignment horizontal="left" vertical="bottom" textRotation="0" wrapText="0" indent="0" justifyLastLine="0" shrinkToFit="0" readingOrder="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2" formatCode="0.00"/>
    </dxf>
    <dxf>
      <numFmt numFmtId="2" formatCode="0.00"/>
    </dxf>
    <dxf>
      <numFmt numFmtId="164" formatCode="_(&quot;$&quot;* #,##0_);_(&quot;$&quot;* \(#,##0\);_(&quot;$&quot;* &quot;-&quot;??_);_(@_)"/>
    </dxf>
    <dxf>
      <numFmt numFmtId="164" formatCode="_(&quot;$&quot;* #,##0_);_(&quot;$&quot;* \(#,##0\);_(&quot;$&quot;* &quot;-&quot;??_);_(@_)"/>
    </dxf>
    <dxf>
      <numFmt numFmtId="164" formatCode="_(&quot;$&quot;* #,##0_);_(&quot;$&quot;* \(#,##0\);_(&quot;$&quot;* &quot;-&quot;??_);_(@_)"/>
    </dxf>
  </dxfs>
  <tableStyles count="0" defaultTableStyle="TableStyleMedium2" defaultPivotStyle="PivotStyleLight16"/>
  <colors>
    <mruColors>
      <color rgb="FF006699"/>
      <color rgb="FF0099CC"/>
      <color rgb="FF003366"/>
      <color rgb="FF008080"/>
      <color rgb="FF33CCCC"/>
      <color rgb="FF666699"/>
      <color rgb="FF17A117"/>
      <color rgb="FFE73421"/>
      <color rgb="FFB47C9B"/>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5.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Application Data Analysis.xlsx]Summary!Approval by gender</c:name>
    <c:fmtId val="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Loan Approval Rate by Gender</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1.0185067526415994E-16"/>
              <c:y val="-6.01851851851852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2.7777777777777267E-3"/>
              <c:y val="-6.481481481481481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2.7777777777777267E-3"/>
              <c:y val="-6.481481481481481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1.0185067526415994E-16"/>
              <c:y val="-6.01851851851852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100000">
                <a:schemeClr val="accent1">
                  <a:alpha val="0"/>
                </a:schemeClr>
              </a:gs>
              <a:gs pos="50000">
                <a:schemeClr val="accent1"/>
              </a:gs>
            </a:gsLst>
            <a:lin ang="5400000" scaled="0"/>
          </a:gradFill>
          <a:ln>
            <a:noFill/>
          </a:ln>
          <a:effectLst/>
          <a:sp3d/>
        </c:spPr>
        <c:dLbl>
          <c:idx val="0"/>
          <c:layout>
            <c:manualLayout>
              <c:x val="2.7777777777777267E-3"/>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100000">
                <a:schemeClr val="accent1">
                  <a:alpha val="0"/>
                </a:schemeClr>
              </a:gs>
              <a:gs pos="50000">
                <a:schemeClr val="accent1"/>
              </a:gs>
            </a:gsLst>
            <a:lin ang="5400000" scaled="0"/>
          </a:gradFill>
          <a:ln>
            <a:noFill/>
          </a:ln>
          <a:effectLst/>
          <a:sp3d/>
        </c:spPr>
        <c:dLbl>
          <c:idx val="0"/>
          <c:layout>
            <c:manualLayout>
              <c:x val="-1.0185067526415994E-16"/>
              <c:y val="-6.0185185185185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Summary!$B$3</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dPt>
            <c:idx val="0"/>
            <c:invertIfNegative val="0"/>
            <c:bubble3D val="0"/>
            <c:spPr>
              <a:gradFill>
                <a:gsLst>
                  <a:gs pos="100000">
                    <a:schemeClr val="accent1">
                      <a:alpha val="0"/>
                    </a:schemeClr>
                  </a:gs>
                  <a:gs pos="50000">
                    <a:schemeClr val="accent1"/>
                  </a:gs>
                </a:gsLst>
                <a:lin ang="5400000" scaled="0"/>
              </a:gradFill>
              <a:ln>
                <a:noFill/>
              </a:ln>
              <a:effectLst/>
              <a:sp3d/>
            </c:spPr>
            <c:extLst>
              <c:ext xmlns:c16="http://schemas.microsoft.com/office/drawing/2014/chart" uri="{C3380CC4-5D6E-409C-BE32-E72D297353CC}">
                <c16:uniqueId val="{00000001-913A-499C-8061-BA4DF402653B}"/>
              </c:ext>
            </c:extLst>
          </c:dPt>
          <c:dPt>
            <c:idx val="1"/>
            <c:invertIfNegative val="0"/>
            <c:bubble3D val="0"/>
            <c:spPr>
              <a:gradFill>
                <a:gsLst>
                  <a:gs pos="100000">
                    <a:schemeClr val="accent1">
                      <a:alpha val="0"/>
                    </a:schemeClr>
                  </a:gs>
                  <a:gs pos="50000">
                    <a:schemeClr val="accent1"/>
                  </a:gs>
                </a:gsLst>
                <a:lin ang="5400000" scaled="0"/>
              </a:gradFill>
              <a:ln>
                <a:noFill/>
              </a:ln>
              <a:effectLst/>
              <a:sp3d/>
            </c:spPr>
            <c:extLst>
              <c:ext xmlns:c16="http://schemas.microsoft.com/office/drawing/2014/chart" uri="{C3380CC4-5D6E-409C-BE32-E72D297353CC}">
                <c16:uniqueId val="{00000003-913A-499C-8061-BA4DF402653B}"/>
              </c:ext>
            </c:extLst>
          </c:dPt>
          <c:dLbls>
            <c:dLbl>
              <c:idx val="0"/>
              <c:layout>
                <c:manualLayout>
                  <c:x val="2.7777777777777267E-3"/>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13A-499C-8061-BA4DF402653B}"/>
                </c:ext>
              </c:extLst>
            </c:dLbl>
            <c:dLbl>
              <c:idx val="1"/>
              <c:layout>
                <c:manualLayout>
                  <c:x val="-1.0185067526415994E-16"/>
                  <c:y val="-6.0185185185185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13A-499C-8061-BA4DF402653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Summary!$A$4:$A$6</c:f>
              <c:strCache>
                <c:ptCount val="2"/>
                <c:pt idx="0">
                  <c:v>Female</c:v>
                </c:pt>
                <c:pt idx="1">
                  <c:v>Male</c:v>
                </c:pt>
              </c:strCache>
            </c:strRef>
          </c:cat>
          <c:val>
            <c:numRef>
              <c:f>Summary!$B$4:$B$6</c:f>
              <c:numCache>
                <c:formatCode>0%</c:formatCode>
                <c:ptCount val="2"/>
                <c:pt idx="0">
                  <c:v>0.19381107491856678</c:v>
                </c:pt>
                <c:pt idx="1">
                  <c:v>0.80618892508143325</c:v>
                </c:pt>
              </c:numCache>
            </c:numRef>
          </c:val>
          <c:extLst>
            <c:ext xmlns:c16="http://schemas.microsoft.com/office/drawing/2014/chart" uri="{C3380CC4-5D6E-409C-BE32-E72D297353CC}">
              <c16:uniqueId val="{00000004-913A-499C-8061-BA4DF402653B}"/>
            </c:ext>
          </c:extLst>
        </c:ser>
        <c:dLbls>
          <c:showLegendKey val="0"/>
          <c:showVal val="1"/>
          <c:showCatName val="0"/>
          <c:showSerName val="0"/>
          <c:showPercent val="0"/>
          <c:showBubbleSize val="0"/>
        </c:dLbls>
        <c:gapWidth val="150"/>
        <c:gapDepth val="0"/>
        <c:shape val="box"/>
        <c:axId val="187646704"/>
        <c:axId val="187647120"/>
        <c:axId val="0"/>
      </c:bar3DChart>
      <c:catAx>
        <c:axId val="1876467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47120"/>
        <c:crosses val="autoZero"/>
        <c:auto val="1"/>
        <c:lblAlgn val="ctr"/>
        <c:lblOffset val="100"/>
        <c:noMultiLvlLbl val="0"/>
      </c:catAx>
      <c:valAx>
        <c:axId val="187647120"/>
        <c:scaling>
          <c:orientation val="minMax"/>
        </c:scaling>
        <c:delete val="0"/>
        <c:axPos val="l"/>
        <c:majorGridlines>
          <c:spPr>
            <a:ln w="9525" cap="flat" cmpd="sng" algn="ctr">
              <a:solidFill>
                <a:schemeClr val="tx1">
                  <a:lumMod val="5000"/>
                  <a:lumOff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46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[Loan Application Data Analysis.xlsx]Summary!Approval by marital status</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Loan Approval Rate by Marital Status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dLbl>
          <c:idx val="0"/>
          <c:layout>
            <c:manualLayout>
              <c:x val="4.2105263157894736E-2"/>
              <c:y val="-3.89294403892944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dLbl>
          <c:idx val="0"/>
          <c:layout>
            <c:manualLayout>
              <c:x val="3.1578947368420991E-2"/>
              <c:y val="-4.37956204379562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Summary!$B$15</c:f>
              <c:strCache>
                <c:ptCount val="1"/>
                <c:pt idx="0">
                  <c:v>Total</c:v>
                </c:pt>
              </c:strCache>
            </c:strRef>
          </c:tx>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invertIfNegative val="0"/>
          <c:dPt>
            <c:idx val="0"/>
            <c:invertIfNegative val="0"/>
            <c:bubble3D val="0"/>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extLst>
              <c:ext xmlns:c16="http://schemas.microsoft.com/office/drawing/2014/chart" uri="{C3380CC4-5D6E-409C-BE32-E72D297353CC}">
                <c16:uniqueId val="{00000003-25BF-4C6F-8D9F-78685D6196E0}"/>
              </c:ext>
            </c:extLst>
          </c:dPt>
          <c:dPt>
            <c:idx val="1"/>
            <c:invertIfNegative val="0"/>
            <c:bubble3D val="0"/>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extLst>
              <c:ext xmlns:c16="http://schemas.microsoft.com/office/drawing/2014/chart" uri="{C3380CC4-5D6E-409C-BE32-E72D297353CC}">
                <c16:uniqueId val="{00000002-25BF-4C6F-8D9F-78685D6196E0}"/>
              </c:ext>
            </c:extLst>
          </c:dPt>
          <c:dLbls>
            <c:dLbl>
              <c:idx val="0"/>
              <c:layout>
                <c:manualLayout>
                  <c:x val="3.1578947368420991E-2"/>
                  <c:y val="-4.37956204379562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5BF-4C6F-8D9F-78685D6196E0}"/>
                </c:ext>
              </c:extLst>
            </c:dLbl>
            <c:dLbl>
              <c:idx val="1"/>
              <c:layout>
                <c:manualLayout>
                  <c:x val="4.2105263157894736E-2"/>
                  <c:y val="-3.89294403892944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5BF-4C6F-8D9F-78685D6196E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Summary!$A$16:$A$18</c:f>
              <c:strCache>
                <c:ptCount val="2"/>
                <c:pt idx="0">
                  <c:v>No</c:v>
                </c:pt>
                <c:pt idx="1">
                  <c:v>Yes</c:v>
                </c:pt>
              </c:strCache>
            </c:strRef>
          </c:cat>
          <c:val>
            <c:numRef>
              <c:f>Summary!$B$16:$B$18</c:f>
              <c:numCache>
                <c:formatCode>0%</c:formatCode>
                <c:ptCount val="2"/>
                <c:pt idx="0">
                  <c:v>0.35016286644951139</c:v>
                </c:pt>
                <c:pt idx="1">
                  <c:v>0.64983713355048855</c:v>
                </c:pt>
              </c:numCache>
            </c:numRef>
          </c:val>
          <c:extLst>
            <c:ext xmlns:c16="http://schemas.microsoft.com/office/drawing/2014/chart" uri="{C3380CC4-5D6E-409C-BE32-E72D297353CC}">
              <c16:uniqueId val="{00000000-25BF-4C6F-8D9F-78685D6196E0}"/>
            </c:ext>
          </c:extLst>
        </c:ser>
        <c:dLbls>
          <c:showLegendKey val="0"/>
          <c:showVal val="1"/>
          <c:showCatName val="0"/>
          <c:showSerName val="0"/>
          <c:showPercent val="0"/>
          <c:showBubbleSize val="0"/>
        </c:dLbls>
        <c:gapWidth val="150"/>
        <c:shape val="box"/>
        <c:axId val="616315920"/>
        <c:axId val="616318000"/>
        <c:axId val="0"/>
      </c:bar3DChart>
      <c:catAx>
        <c:axId val="6163159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318000"/>
        <c:crosses val="autoZero"/>
        <c:auto val="1"/>
        <c:lblAlgn val="ctr"/>
        <c:lblOffset val="100"/>
        <c:noMultiLvlLbl val="0"/>
      </c:catAx>
      <c:valAx>
        <c:axId val="616318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315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Application Data Analysis.xlsx]Summary!Approval by education</c:name>
    <c:fmtId val="1"/>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Loan Approval Rate by Education Level</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
        <c:idx val="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Summary!$B$9</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Summary!$A$10:$A$12</c:f>
              <c:strCache>
                <c:ptCount val="2"/>
                <c:pt idx="0">
                  <c:v>Graduate</c:v>
                </c:pt>
                <c:pt idx="1">
                  <c:v>Not Graduate</c:v>
                </c:pt>
              </c:strCache>
            </c:strRef>
          </c:cat>
          <c:val>
            <c:numRef>
              <c:f>Summary!$B$10:$B$12</c:f>
              <c:numCache>
                <c:formatCode>0%</c:formatCode>
                <c:ptCount val="2"/>
                <c:pt idx="0">
                  <c:v>0.78175895765472314</c:v>
                </c:pt>
                <c:pt idx="1">
                  <c:v>0.21824104234527689</c:v>
                </c:pt>
              </c:numCache>
            </c:numRef>
          </c:val>
          <c:extLst>
            <c:ext xmlns:c16="http://schemas.microsoft.com/office/drawing/2014/chart" uri="{C3380CC4-5D6E-409C-BE32-E72D297353CC}">
              <c16:uniqueId val="{00000000-3B85-4AD3-B3ED-D5C25692C872}"/>
            </c:ext>
          </c:extLst>
        </c:ser>
        <c:dLbls>
          <c:showLegendKey val="0"/>
          <c:showVal val="1"/>
          <c:showCatName val="0"/>
          <c:showSerName val="0"/>
          <c:showPercent val="0"/>
          <c:showBubbleSize val="0"/>
        </c:dLbls>
        <c:gapWidth val="84"/>
        <c:gapDepth val="53"/>
        <c:shape val="box"/>
        <c:axId val="616303856"/>
        <c:axId val="616311344"/>
        <c:axId val="0"/>
      </c:bar3DChart>
      <c:catAx>
        <c:axId val="6163038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16311344"/>
        <c:crosses val="autoZero"/>
        <c:auto val="1"/>
        <c:lblAlgn val="ctr"/>
        <c:lblOffset val="100"/>
        <c:noMultiLvlLbl val="0"/>
      </c:catAx>
      <c:valAx>
        <c:axId val="616311344"/>
        <c:scaling>
          <c:orientation val="minMax"/>
        </c:scaling>
        <c:delete val="1"/>
        <c:axPos val="l"/>
        <c:numFmt formatCode="0%" sourceLinked="1"/>
        <c:majorTickMark val="out"/>
        <c:minorTickMark val="none"/>
        <c:tickLblPos val="nextTo"/>
        <c:crossAx val="616303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Application Data Analysis.xlsx]Summary!Approval by employment</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Loan Approval Rate by Employment Status</a:t>
            </a:r>
          </a:p>
        </c:rich>
      </c:tx>
      <c:layout>
        <c:manualLayout>
          <c:xMode val="edge"/>
          <c:yMode val="edge"/>
          <c:x val="0.10191042318773991"/>
          <c:y val="0.1046954669804759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Summary!$B$21</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Summary!$A$22:$A$24</c:f>
              <c:strCache>
                <c:ptCount val="2"/>
                <c:pt idx="0">
                  <c:v>No</c:v>
                </c:pt>
                <c:pt idx="1">
                  <c:v>Yes</c:v>
                </c:pt>
              </c:strCache>
            </c:strRef>
          </c:cat>
          <c:val>
            <c:numRef>
              <c:f>Summary!$B$22:$B$24</c:f>
              <c:numCache>
                <c:formatCode>0%</c:formatCode>
                <c:ptCount val="2"/>
                <c:pt idx="0">
                  <c:v>0.86644951140065152</c:v>
                </c:pt>
                <c:pt idx="1">
                  <c:v>0.13355048859934854</c:v>
                </c:pt>
              </c:numCache>
            </c:numRef>
          </c:val>
          <c:extLst>
            <c:ext xmlns:c16="http://schemas.microsoft.com/office/drawing/2014/chart" uri="{C3380CC4-5D6E-409C-BE32-E72D297353CC}">
              <c16:uniqueId val="{00000000-76B2-4602-B8B1-934B20D936AF}"/>
            </c:ext>
          </c:extLst>
        </c:ser>
        <c:dLbls>
          <c:showLegendKey val="0"/>
          <c:showVal val="0"/>
          <c:showCatName val="0"/>
          <c:showSerName val="0"/>
          <c:showPercent val="0"/>
          <c:showBubbleSize val="0"/>
        </c:dLbls>
        <c:gapWidth val="65"/>
        <c:shape val="box"/>
        <c:axId val="657166656"/>
        <c:axId val="657166240"/>
        <c:axId val="0"/>
      </c:bar3DChart>
      <c:catAx>
        <c:axId val="65716665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57166240"/>
        <c:crosses val="autoZero"/>
        <c:auto val="1"/>
        <c:lblAlgn val="ctr"/>
        <c:lblOffset val="100"/>
        <c:noMultiLvlLbl val="0"/>
      </c:catAx>
      <c:valAx>
        <c:axId val="657166240"/>
        <c:scaling>
          <c:orientation val="minMax"/>
        </c:scaling>
        <c:delete val="0"/>
        <c:axPos val="b"/>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57166656"/>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[Loan Application Data Analysis.xlsx]Summary!Approval by property area</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Loan  Approval Rate by Property Area</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tint val="100000"/>
                  <a:shade val="85000"/>
                  <a:satMod val="100000"/>
                  <a:lumMod val="100000"/>
                </a:schemeClr>
              </a:gs>
              <a:gs pos="100000">
                <a:schemeClr val="accent5">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Summary!$B$27</c:f>
              <c:strCache>
                <c:ptCount val="1"/>
                <c:pt idx="0">
                  <c:v>Total</c:v>
                </c:pt>
              </c:strCache>
            </c:strRef>
          </c:tx>
          <c:spPr>
            <a:gradFill rotWithShape="1">
              <a:gsLst>
                <a:gs pos="0">
                  <a:schemeClr val="accent5">
                    <a:tint val="100000"/>
                    <a:shade val="85000"/>
                    <a:satMod val="100000"/>
                    <a:lumMod val="100000"/>
                  </a:schemeClr>
                </a:gs>
                <a:gs pos="100000">
                  <a:schemeClr val="accent5">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invertIfNegative val="0"/>
          <c:cat>
            <c:strRef>
              <c:f>Summary!$A$28:$A$31</c:f>
              <c:strCache>
                <c:ptCount val="3"/>
                <c:pt idx="0">
                  <c:v>Rural</c:v>
                </c:pt>
                <c:pt idx="1">
                  <c:v>Semiurban</c:v>
                </c:pt>
                <c:pt idx="2">
                  <c:v>Urban</c:v>
                </c:pt>
              </c:strCache>
            </c:strRef>
          </c:cat>
          <c:val>
            <c:numRef>
              <c:f>Summary!$B$28:$B$31</c:f>
              <c:numCache>
                <c:formatCode>0%</c:formatCode>
                <c:ptCount val="3"/>
                <c:pt idx="0">
                  <c:v>0.29153094462540718</c:v>
                </c:pt>
                <c:pt idx="1">
                  <c:v>0.37947882736156352</c:v>
                </c:pt>
                <c:pt idx="2">
                  <c:v>0.3289902280130293</c:v>
                </c:pt>
              </c:numCache>
            </c:numRef>
          </c:val>
          <c:extLst>
            <c:ext xmlns:c16="http://schemas.microsoft.com/office/drawing/2014/chart" uri="{C3380CC4-5D6E-409C-BE32-E72D297353CC}">
              <c16:uniqueId val="{00000000-2862-49C8-B0BD-26C590F98724}"/>
            </c:ext>
          </c:extLst>
        </c:ser>
        <c:dLbls>
          <c:showLegendKey val="0"/>
          <c:showVal val="0"/>
          <c:showCatName val="0"/>
          <c:showSerName val="0"/>
          <c:showPercent val="0"/>
          <c:showBubbleSize val="0"/>
        </c:dLbls>
        <c:gapWidth val="150"/>
        <c:shape val="box"/>
        <c:axId val="616322576"/>
        <c:axId val="616319664"/>
        <c:axId val="0"/>
      </c:bar3DChart>
      <c:catAx>
        <c:axId val="6163225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6319664"/>
        <c:crosses val="autoZero"/>
        <c:auto val="1"/>
        <c:lblAlgn val="ctr"/>
        <c:lblOffset val="100"/>
        <c:noMultiLvlLbl val="0"/>
      </c:catAx>
      <c:valAx>
        <c:axId val="616319664"/>
        <c:scaling>
          <c:orientation val="minMax"/>
        </c:scaling>
        <c:delete val="0"/>
        <c:axPos val="b"/>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632257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Income Vs Loan Amount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Summary!$C$35</c:f>
              <c:strCache>
                <c:ptCount val="1"/>
                <c:pt idx="0">
                  <c:v>Average of Loan Amount</c:v>
                </c:pt>
              </c:strCache>
            </c:strRef>
          </c:tx>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cat>
            <c:strRef>
              <c:f>Summary!$B$36:$B$53</c:f>
              <c:strCache>
                <c:ptCount val="18"/>
                <c:pt idx="0">
                  <c:v> 0-1999 </c:v>
                </c:pt>
                <c:pt idx="1">
                  <c:v> 2000-3999 </c:v>
                </c:pt>
                <c:pt idx="2">
                  <c:v> 4000-5999 </c:v>
                </c:pt>
                <c:pt idx="3">
                  <c:v> 6000-7999 </c:v>
                </c:pt>
                <c:pt idx="4">
                  <c:v> 8000-9999 </c:v>
                </c:pt>
                <c:pt idx="5">
                  <c:v> 10000-11999 </c:v>
                </c:pt>
                <c:pt idx="6">
                  <c:v> 12000-13999 </c:v>
                </c:pt>
                <c:pt idx="7">
                  <c:v> 14000-15999 </c:v>
                </c:pt>
                <c:pt idx="8">
                  <c:v> 16000-17999 </c:v>
                </c:pt>
                <c:pt idx="9">
                  <c:v> 18000-19999 </c:v>
                </c:pt>
                <c:pt idx="10">
                  <c:v> 20000-21999 </c:v>
                </c:pt>
                <c:pt idx="11">
                  <c:v> 22000-23999 </c:v>
                </c:pt>
                <c:pt idx="12">
                  <c:v> 32000-33999 </c:v>
                </c:pt>
                <c:pt idx="13">
                  <c:v> 36000-37999 </c:v>
                </c:pt>
                <c:pt idx="14">
                  <c:v> 38000-39999 </c:v>
                </c:pt>
                <c:pt idx="15">
                  <c:v> 50000-51999 </c:v>
                </c:pt>
                <c:pt idx="16">
                  <c:v> 62000-63999 </c:v>
                </c:pt>
                <c:pt idx="17">
                  <c:v> 80000-81999 </c:v>
                </c:pt>
              </c:strCache>
            </c:strRef>
          </c:cat>
          <c:val>
            <c:numRef>
              <c:f>Summary!$C$36:$C$53</c:f>
              <c:numCache>
                <c:formatCode>"$"#,##0.00</c:formatCode>
                <c:ptCount val="18"/>
                <c:pt idx="0">
                  <c:v>105.27500000000001</c:v>
                </c:pt>
                <c:pt idx="1">
                  <c:v>110.19587628865979</c:v>
                </c:pt>
                <c:pt idx="2">
                  <c:v>139.39285714285714</c:v>
                </c:pt>
                <c:pt idx="3">
                  <c:v>169.25423728813558</c:v>
                </c:pt>
                <c:pt idx="4">
                  <c:v>212.44827586206895</c:v>
                </c:pt>
                <c:pt idx="5">
                  <c:v>194.9375</c:v>
                </c:pt>
                <c:pt idx="6">
                  <c:v>253.42857142857142</c:v>
                </c:pt>
                <c:pt idx="7">
                  <c:v>211</c:v>
                </c:pt>
                <c:pt idx="8">
                  <c:v>212.25</c:v>
                </c:pt>
                <c:pt idx="9">
                  <c:v>448.75</c:v>
                </c:pt>
                <c:pt idx="10">
                  <c:v>402.5</c:v>
                </c:pt>
                <c:pt idx="11">
                  <c:v>370</c:v>
                </c:pt>
                <c:pt idx="12">
                  <c:v>260</c:v>
                </c:pt>
                <c:pt idx="13">
                  <c:v>152</c:v>
                </c:pt>
                <c:pt idx="14">
                  <c:v>360</c:v>
                </c:pt>
                <c:pt idx="15">
                  <c:v>700</c:v>
                </c:pt>
                <c:pt idx="16">
                  <c:v>490</c:v>
                </c:pt>
                <c:pt idx="17">
                  <c:v>360</c:v>
                </c:pt>
              </c:numCache>
            </c:numRef>
          </c:val>
          <c:extLst>
            <c:ext xmlns:c16="http://schemas.microsoft.com/office/drawing/2014/chart" uri="{C3380CC4-5D6E-409C-BE32-E72D297353CC}">
              <c16:uniqueId val="{00000000-14D4-475C-AAAD-FCAE22C5C3BA}"/>
            </c:ext>
          </c:extLst>
        </c:ser>
        <c:dLbls>
          <c:showLegendKey val="0"/>
          <c:showVal val="0"/>
          <c:showCatName val="0"/>
          <c:showSerName val="0"/>
          <c:showPercent val="0"/>
          <c:showBubbleSize val="0"/>
        </c:dLbls>
        <c:gapWidth val="150"/>
        <c:axId val="965104175"/>
        <c:axId val="965104591"/>
      </c:barChart>
      <c:lineChart>
        <c:grouping val="standard"/>
        <c:varyColors val="0"/>
        <c:ser>
          <c:idx val="1"/>
          <c:order val="1"/>
          <c:tx>
            <c:strRef>
              <c:f>Summary!$D$35</c:f>
              <c:strCache>
                <c:ptCount val="1"/>
                <c:pt idx="0">
                  <c:v>Approval Rate</c:v>
                </c:pt>
              </c:strCache>
            </c:strRef>
          </c:tx>
          <c:spPr>
            <a:ln w="34925" cap="rnd">
              <a:solidFill>
                <a:schemeClr val="accent2"/>
              </a:solidFill>
              <a:round/>
            </a:ln>
            <a:effectLst>
              <a:outerShdw blurRad="76200" dist="25400" dir="5400000" algn="ctr" rotWithShape="0">
                <a:srgbClr val="000000">
                  <a:alpha val="60000"/>
                </a:srgbClr>
              </a:outerShdw>
            </a:effectLst>
          </c:spPr>
          <c:marker>
            <c:symbol val="none"/>
          </c:marker>
          <c:cat>
            <c:strRef>
              <c:f>Summary!$B$36:$B$53</c:f>
              <c:strCache>
                <c:ptCount val="18"/>
                <c:pt idx="0">
                  <c:v> 0-1999 </c:v>
                </c:pt>
                <c:pt idx="1">
                  <c:v> 2000-3999 </c:v>
                </c:pt>
                <c:pt idx="2">
                  <c:v> 4000-5999 </c:v>
                </c:pt>
                <c:pt idx="3">
                  <c:v> 6000-7999 </c:v>
                </c:pt>
                <c:pt idx="4">
                  <c:v> 8000-9999 </c:v>
                </c:pt>
                <c:pt idx="5">
                  <c:v> 10000-11999 </c:v>
                </c:pt>
                <c:pt idx="6">
                  <c:v> 12000-13999 </c:v>
                </c:pt>
                <c:pt idx="7">
                  <c:v> 14000-15999 </c:v>
                </c:pt>
                <c:pt idx="8">
                  <c:v> 16000-17999 </c:v>
                </c:pt>
                <c:pt idx="9">
                  <c:v> 18000-19999 </c:v>
                </c:pt>
                <c:pt idx="10">
                  <c:v> 20000-21999 </c:v>
                </c:pt>
                <c:pt idx="11">
                  <c:v> 22000-23999 </c:v>
                </c:pt>
                <c:pt idx="12">
                  <c:v> 32000-33999 </c:v>
                </c:pt>
                <c:pt idx="13">
                  <c:v> 36000-37999 </c:v>
                </c:pt>
                <c:pt idx="14">
                  <c:v> 38000-39999 </c:v>
                </c:pt>
                <c:pt idx="15">
                  <c:v> 50000-51999 </c:v>
                </c:pt>
                <c:pt idx="16">
                  <c:v> 62000-63999 </c:v>
                </c:pt>
                <c:pt idx="17">
                  <c:v> 80000-81999 </c:v>
                </c:pt>
              </c:strCache>
            </c:strRef>
          </c:cat>
          <c:val>
            <c:numRef>
              <c:f>Summary!$D$36:$D$53</c:f>
              <c:numCache>
                <c:formatCode>0%</c:formatCode>
                <c:ptCount val="18"/>
                <c:pt idx="0">
                  <c:v>0.625</c:v>
                </c:pt>
                <c:pt idx="1">
                  <c:v>0.70790378006872856</c:v>
                </c:pt>
                <c:pt idx="2">
                  <c:v>0.68571428571428572</c:v>
                </c:pt>
                <c:pt idx="3">
                  <c:v>0.6271186440677966</c:v>
                </c:pt>
                <c:pt idx="4">
                  <c:v>0.7931034482758621</c:v>
                </c:pt>
                <c:pt idx="5">
                  <c:v>0.5</c:v>
                </c:pt>
                <c:pt idx="6">
                  <c:v>0.5714285714285714</c:v>
                </c:pt>
                <c:pt idx="7">
                  <c:v>0.75</c:v>
                </c:pt>
                <c:pt idx="8">
                  <c:v>0.875</c:v>
                </c:pt>
                <c:pt idx="9">
                  <c:v>0.5</c:v>
                </c:pt>
                <c:pt idx="10">
                  <c:v>0.5</c:v>
                </c:pt>
                <c:pt idx="11">
                  <c:v>1</c:v>
                </c:pt>
                <c:pt idx="12">
                  <c:v>0</c:v>
                </c:pt>
                <c:pt idx="13">
                  <c:v>1</c:v>
                </c:pt>
                <c:pt idx="14">
                  <c:v>1</c:v>
                </c:pt>
                <c:pt idx="15">
                  <c:v>1</c:v>
                </c:pt>
                <c:pt idx="16">
                  <c:v>1</c:v>
                </c:pt>
                <c:pt idx="17">
                  <c:v>0</c:v>
                </c:pt>
              </c:numCache>
            </c:numRef>
          </c:val>
          <c:smooth val="0"/>
          <c:extLst>
            <c:ext xmlns:c16="http://schemas.microsoft.com/office/drawing/2014/chart" uri="{C3380CC4-5D6E-409C-BE32-E72D297353CC}">
              <c16:uniqueId val="{00000001-14D4-475C-AAAD-FCAE22C5C3BA}"/>
            </c:ext>
          </c:extLst>
        </c:ser>
        <c:dLbls>
          <c:showLegendKey val="0"/>
          <c:showVal val="0"/>
          <c:showCatName val="0"/>
          <c:showSerName val="0"/>
          <c:showPercent val="0"/>
          <c:showBubbleSize val="0"/>
        </c:dLbls>
        <c:marker val="1"/>
        <c:smooth val="0"/>
        <c:axId val="965105007"/>
        <c:axId val="965108335"/>
      </c:lineChart>
      <c:catAx>
        <c:axId val="9651041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5104591"/>
        <c:crosses val="autoZero"/>
        <c:auto val="1"/>
        <c:lblAlgn val="ctr"/>
        <c:lblOffset val="100"/>
        <c:noMultiLvlLbl val="0"/>
      </c:catAx>
      <c:valAx>
        <c:axId val="965104591"/>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5104175"/>
        <c:crosses val="autoZero"/>
        <c:crossBetween val="between"/>
      </c:valAx>
      <c:valAx>
        <c:axId val="965108335"/>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5105007"/>
        <c:crosses val="max"/>
        <c:crossBetween val="between"/>
      </c:valAx>
      <c:catAx>
        <c:axId val="965105007"/>
        <c:scaling>
          <c:orientation val="minMax"/>
        </c:scaling>
        <c:delete val="1"/>
        <c:axPos val="b"/>
        <c:numFmt formatCode="General" sourceLinked="1"/>
        <c:majorTickMark val="none"/>
        <c:minorTickMark val="none"/>
        <c:tickLblPos val="nextTo"/>
        <c:crossAx val="96510833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innerShdw blurRad="114300">
        <a:prstClr val="black"/>
      </a:innerShdw>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Application Data Analysis.xlsx]Charts!propertyAreaComparison</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Loan Approval &amp; Average Amount by Property Area</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3.0555555555555607E-2"/>
              <c:y val="-7.407407407407411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50800" dist="12700" dir="5400000" algn="ctr" rotWithShape="0">
              <a:srgbClr val="000000">
                <a:alpha val="5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31750" cap="rnd">
            <a:solidFill>
              <a:schemeClr val="accent1"/>
            </a:solidFill>
            <a:round/>
          </a:ln>
          <a:effectLst>
            <a:outerShdw blurRad="50800" dist="12700" dir="5400000" algn="ctr" rotWithShape="0">
              <a:srgbClr val="000000">
                <a:alpha val="50000"/>
              </a:srgbClr>
            </a:outerShdw>
          </a:effectLst>
        </c:spPr>
        <c:marker>
          <c:symbol val="circle"/>
          <c:size val="6"/>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w="12700">
              <a:solidFill>
                <a:schemeClr val="lt2"/>
              </a:solidFill>
              <a:round/>
            </a:ln>
            <a:effectLst>
              <a:outerShdw blurRad="50800" dist="12700" dir="5400000" algn="ctr" rotWithShape="0">
                <a:srgbClr val="000000">
                  <a:alpha val="5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31750" cap="rnd">
            <a:solidFill>
              <a:schemeClr val="accent2"/>
            </a:solidFill>
            <a:round/>
          </a:ln>
          <a:effectLst>
            <a:outerShdw blurRad="50800" dist="12700" dir="5400000" algn="ctr" rotWithShape="0">
              <a:srgbClr val="000000">
                <a:alpha val="50000"/>
              </a:srgbClr>
            </a:outerShdw>
          </a:effectLst>
        </c:spPr>
        <c:marker>
          <c:symbol val="circle"/>
          <c:size val="6"/>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w="12700">
              <a:solidFill>
                <a:schemeClr val="lt2"/>
              </a:solidFill>
              <a:round/>
            </a:ln>
            <a:effectLst>
              <a:outerShdw blurRad="50800" dist="12700" dir="5400000" algn="ctr" rotWithShape="0">
                <a:srgbClr val="000000">
                  <a:alpha val="50000"/>
                </a:srgbClr>
              </a:outerShdw>
            </a:effectLst>
          </c:spPr>
        </c:marker>
        <c:dLbl>
          <c:idx val="0"/>
          <c:layout>
            <c:manualLayout>
              <c:x val="-3.0555555555555607E-2"/>
              <c:y val="-7.40740740740741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Charts!$B$3</c:f>
              <c:strCache>
                <c:ptCount val="1"/>
                <c:pt idx="0">
                  <c:v>Average of Loan Amount</c:v>
                </c:pt>
              </c:strCache>
            </c:strRef>
          </c:tx>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50800" dist="12700" dir="5400000" algn="ctr" rotWithShape="0">
                <a:srgbClr val="000000">
                  <a:alpha val="50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Charts!$A$4:$A$7</c:f>
              <c:strCache>
                <c:ptCount val="3"/>
                <c:pt idx="0">
                  <c:v>Rural</c:v>
                </c:pt>
                <c:pt idx="1">
                  <c:v>Semiurban</c:v>
                </c:pt>
                <c:pt idx="2">
                  <c:v>Urban</c:v>
                </c:pt>
              </c:strCache>
            </c:strRef>
          </c:cat>
          <c:val>
            <c:numRef>
              <c:f>Charts!$B$4:$B$7</c:f>
              <c:numCache>
                <c:formatCode>"$"#,##0.00</c:formatCode>
                <c:ptCount val="3"/>
                <c:pt idx="0">
                  <c:v>147.15642458100558</c:v>
                </c:pt>
                <c:pt idx="1">
                  <c:v>142.38197424892704</c:v>
                </c:pt>
                <c:pt idx="2">
                  <c:v>134.45544554455446</c:v>
                </c:pt>
              </c:numCache>
            </c:numRef>
          </c:val>
          <c:extLst>
            <c:ext xmlns:c16="http://schemas.microsoft.com/office/drawing/2014/chart" uri="{C3380CC4-5D6E-409C-BE32-E72D297353CC}">
              <c16:uniqueId val="{00000000-88DD-476D-BDA5-D1BF2F74C017}"/>
            </c:ext>
          </c:extLst>
        </c:ser>
        <c:dLbls>
          <c:showLegendKey val="0"/>
          <c:showVal val="1"/>
          <c:showCatName val="0"/>
          <c:showSerName val="0"/>
          <c:showPercent val="0"/>
          <c:showBubbleSize val="0"/>
        </c:dLbls>
        <c:gapWidth val="150"/>
        <c:axId val="1078473327"/>
        <c:axId val="1078432975"/>
      </c:barChart>
      <c:lineChart>
        <c:grouping val="standard"/>
        <c:varyColors val="0"/>
        <c:ser>
          <c:idx val="1"/>
          <c:order val="1"/>
          <c:tx>
            <c:strRef>
              <c:f>Charts!$C$3</c:f>
              <c:strCache>
                <c:ptCount val="1"/>
                <c:pt idx="0">
                  <c:v>Approval_Rate</c:v>
                </c:pt>
              </c:strCache>
            </c:strRef>
          </c:tx>
          <c:spPr>
            <a:ln w="31750" cap="rnd">
              <a:solidFill>
                <a:schemeClr val="accent2"/>
              </a:solidFill>
              <a:round/>
            </a:ln>
            <a:effectLst>
              <a:outerShdw blurRad="50800" dist="12700" dir="5400000" algn="ctr" rotWithShape="0">
                <a:srgbClr val="000000">
                  <a:alpha val="50000"/>
                </a:srgbClr>
              </a:outerShdw>
            </a:effectLst>
          </c:spPr>
          <c:marker>
            <c:symbol val="circle"/>
            <c:size val="6"/>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w="12700">
                <a:solidFill>
                  <a:schemeClr val="lt2"/>
                </a:solidFill>
                <a:round/>
              </a:ln>
              <a:effectLst>
                <a:outerShdw blurRad="50800" dist="12700" dir="5400000" algn="ctr" rotWithShape="0">
                  <a:srgbClr val="000000">
                    <a:alpha val="50000"/>
                  </a:srgbClr>
                </a:outerShdw>
              </a:effectLst>
            </c:spPr>
          </c:marker>
          <c:dPt>
            <c:idx val="1"/>
            <c:marker>
              <c:symbol val="circle"/>
              <c:size val="6"/>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w="12700">
                  <a:solidFill>
                    <a:schemeClr val="lt2"/>
                  </a:solidFill>
                  <a:round/>
                </a:ln>
                <a:effectLst>
                  <a:outerShdw blurRad="50800" dist="12700" dir="5400000" algn="ctr" rotWithShape="0">
                    <a:srgbClr val="000000">
                      <a:alpha val="50000"/>
                    </a:srgbClr>
                  </a:outerShdw>
                </a:effectLst>
              </c:spPr>
            </c:marker>
            <c:bubble3D val="0"/>
            <c:spPr>
              <a:ln w="31750" cap="rnd">
                <a:solidFill>
                  <a:schemeClr val="accent2"/>
                </a:solidFill>
                <a:round/>
              </a:ln>
              <a:effectLst>
                <a:outerShdw blurRad="50800" dist="12700" dir="5400000" algn="ctr" rotWithShape="0">
                  <a:srgbClr val="000000">
                    <a:alpha val="50000"/>
                  </a:srgbClr>
                </a:outerShdw>
              </a:effectLst>
            </c:spPr>
            <c:extLst>
              <c:ext xmlns:c16="http://schemas.microsoft.com/office/drawing/2014/chart" uri="{C3380CC4-5D6E-409C-BE32-E72D297353CC}">
                <c16:uniqueId val="{00000001-2418-4035-8F4A-0AD8EA38AC86}"/>
              </c:ext>
            </c:extLst>
          </c:dPt>
          <c:dLbls>
            <c:dLbl>
              <c:idx val="1"/>
              <c:layout>
                <c:manualLayout>
                  <c:x val="-3.0555555555555607E-2"/>
                  <c:y val="-7.40740740740741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418-4035-8F4A-0AD8EA38AC8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Charts!$A$4:$A$7</c:f>
              <c:strCache>
                <c:ptCount val="3"/>
                <c:pt idx="0">
                  <c:v>Rural</c:v>
                </c:pt>
                <c:pt idx="1">
                  <c:v>Semiurban</c:v>
                </c:pt>
                <c:pt idx="2">
                  <c:v>Urban</c:v>
                </c:pt>
              </c:strCache>
            </c:strRef>
          </c:cat>
          <c:val>
            <c:numRef>
              <c:f>Charts!$C$4:$C$7</c:f>
              <c:numCache>
                <c:formatCode>0%</c:formatCode>
                <c:ptCount val="3"/>
                <c:pt idx="0">
                  <c:v>0.61452513966480449</c:v>
                </c:pt>
                <c:pt idx="1">
                  <c:v>0.76824034334763946</c:v>
                </c:pt>
                <c:pt idx="2">
                  <c:v>0.65841584158415845</c:v>
                </c:pt>
              </c:numCache>
            </c:numRef>
          </c:val>
          <c:smooth val="0"/>
          <c:extLst>
            <c:ext xmlns:c16="http://schemas.microsoft.com/office/drawing/2014/chart" uri="{C3380CC4-5D6E-409C-BE32-E72D297353CC}">
              <c16:uniqueId val="{00000002-88DD-476D-BDA5-D1BF2F74C017}"/>
            </c:ext>
          </c:extLst>
        </c:ser>
        <c:dLbls>
          <c:showLegendKey val="0"/>
          <c:showVal val="1"/>
          <c:showCatName val="0"/>
          <c:showSerName val="0"/>
          <c:showPercent val="0"/>
          <c:showBubbleSize val="0"/>
        </c:dLbls>
        <c:marker val="1"/>
        <c:smooth val="0"/>
        <c:axId val="1078420079"/>
        <c:axId val="1078429231"/>
      </c:lineChart>
      <c:catAx>
        <c:axId val="107847332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78432975"/>
        <c:crosses val="autoZero"/>
        <c:auto val="1"/>
        <c:lblAlgn val="ctr"/>
        <c:lblOffset val="100"/>
        <c:noMultiLvlLbl val="0"/>
      </c:catAx>
      <c:valAx>
        <c:axId val="1078432975"/>
        <c:scaling>
          <c:orientation val="minMax"/>
        </c:scaling>
        <c:delete val="0"/>
        <c:axPos val="l"/>
        <c:majorGridlines>
          <c:spPr>
            <a:ln w="9525" cap="flat" cmpd="sng" algn="ctr">
              <a:solidFill>
                <a:schemeClr val="tx2">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78473327"/>
        <c:crosses val="autoZero"/>
        <c:crossBetween val="between"/>
      </c:valAx>
      <c:valAx>
        <c:axId val="1078429231"/>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78420079"/>
        <c:crosses val="max"/>
        <c:crossBetween val="between"/>
      </c:valAx>
      <c:catAx>
        <c:axId val="1078420079"/>
        <c:scaling>
          <c:orientation val="minMax"/>
        </c:scaling>
        <c:delete val="1"/>
        <c:axPos val="b"/>
        <c:numFmt formatCode="General" sourceLinked="1"/>
        <c:majorTickMark val="none"/>
        <c:minorTickMark val="none"/>
        <c:tickLblPos val="nextTo"/>
        <c:crossAx val="107842923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Application Data Analysis.xlsx]Charts!Credit history impact</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Impact of Credit History on Loan Approvals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76200" dist="25400" dir="5400000" algn="ctr" rotWithShape="0">
              <a:srgbClr val="000000">
                <a:alpha val="60000"/>
              </a:srgbClr>
            </a:outerShdw>
          </a:effectLst>
        </c:spPr>
        <c:marker>
          <c:symbol val="circle"/>
          <c:size val="6"/>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w="9525">
              <a:solidFill>
                <a:schemeClr val="accent2"/>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Charts!$B$11</c:f>
              <c:strCache>
                <c:ptCount val="1"/>
                <c:pt idx="0">
                  <c:v>Avg. Loan Amount</c:v>
                </c:pt>
              </c:strCache>
            </c:strRef>
          </c:tx>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Charts!$A$12:$A$14</c:f>
              <c:strCache>
                <c:ptCount val="2"/>
                <c:pt idx="0">
                  <c:v>No Credit History</c:v>
                </c:pt>
                <c:pt idx="1">
                  <c:v>Has Credit History</c:v>
                </c:pt>
              </c:strCache>
            </c:strRef>
          </c:cat>
          <c:val>
            <c:numRef>
              <c:f>Charts!$B$12:$B$14</c:f>
              <c:numCache>
                <c:formatCode>"$"#,##0.00</c:formatCode>
                <c:ptCount val="2"/>
                <c:pt idx="0">
                  <c:v>143.32432432432432</c:v>
                </c:pt>
                <c:pt idx="1">
                  <c:v>140.68986083499007</c:v>
                </c:pt>
              </c:numCache>
            </c:numRef>
          </c:val>
          <c:extLst>
            <c:ext xmlns:c16="http://schemas.microsoft.com/office/drawing/2014/chart" uri="{C3380CC4-5D6E-409C-BE32-E72D297353CC}">
              <c16:uniqueId val="{00000000-EDE6-4CAF-B50D-B8F183B74C5F}"/>
            </c:ext>
          </c:extLst>
        </c:ser>
        <c:dLbls>
          <c:showLegendKey val="0"/>
          <c:showVal val="1"/>
          <c:showCatName val="0"/>
          <c:showSerName val="0"/>
          <c:showPercent val="0"/>
          <c:showBubbleSize val="0"/>
        </c:dLbls>
        <c:gapWidth val="219"/>
        <c:overlap val="-27"/>
        <c:axId val="1078426735"/>
        <c:axId val="1078427151"/>
      </c:barChart>
      <c:lineChart>
        <c:grouping val="standard"/>
        <c:varyColors val="0"/>
        <c:ser>
          <c:idx val="1"/>
          <c:order val="1"/>
          <c:tx>
            <c:strRef>
              <c:f>Charts!$C$11</c:f>
              <c:strCache>
                <c:ptCount val="1"/>
                <c:pt idx="0">
                  <c:v>Approval-Rate</c:v>
                </c:pt>
              </c:strCache>
            </c:strRef>
          </c:tx>
          <c:spPr>
            <a:ln w="34925" cap="rnd">
              <a:solidFill>
                <a:schemeClr val="accent2"/>
              </a:solidFill>
              <a:round/>
            </a:ln>
            <a:effectLst>
              <a:outerShdw blurRad="76200" dist="25400" dir="5400000" algn="ctr" rotWithShape="0">
                <a:srgbClr val="000000">
                  <a:alpha val="60000"/>
                </a:srgbClr>
              </a:outerShdw>
            </a:effectLst>
          </c:spPr>
          <c:marker>
            <c:symbol val="circle"/>
            <c:size val="6"/>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w="9525">
                <a:solidFill>
                  <a:schemeClr val="accent2"/>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Charts!$A$12:$A$14</c:f>
              <c:strCache>
                <c:ptCount val="2"/>
                <c:pt idx="0">
                  <c:v>No Credit History</c:v>
                </c:pt>
                <c:pt idx="1">
                  <c:v>Has Credit History</c:v>
                </c:pt>
              </c:strCache>
            </c:strRef>
          </c:cat>
          <c:val>
            <c:numRef>
              <c:f>Charts!$C$12:$C$14</c:f>
              <c:numCache>
                <c:formatCode>0%</c:formatCode>
                <c:ptCount val="2"/>
                <c:pt idx="0">
                  <c:v>0.21621621621621623</c:v>
                </c:pt>
                <c:pt idx="1">
                  <c:v>0.79125248508946322</c:v>
                </c:pt>
              </c:numCache>
            </c:numRef>
          </c:val>
          <c:smooth val="0"/>
          <c:extLst>
            <c:ext xmlns:c16="http://schemas.microsoft.com/office/drawing/2014/chart" uri="{C3380CC4-5D6E-409C-BE32-E72D297353CC}">
              <c16:uniqueId val="{00000001-EDE6-4CAF-B50D-B8F183B74C5F}"/>
            </c:ext>
          </c:extLst>
        </c:ser>
        <c:dLbls>
          <c:showLegendKey val="0"/>
          <c:showVal val="1"/>
          <c:showCatName val="0"/>
          <c:showSerName val="0"/>
          <c:showPercent val="0"/>
          <c:showBubbleSize val="0"/>
        </c:dLbls>
        <c:marker val="1"/>
        <c:smooth val="0"/>
        <c:axId val="1078427983"/>
        <c:axId val="1078425903"/>
      </c:lineChart>
      <c:catAx>
        <c:axId val="107842673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427151"/>
        <c:crosses val="autoZero"/>
        <c:auto val="1"/>
        <c:lblAlgn val="ctr"/>
        <c:lblOffset val="100"/>
        <c:noMultiLvlLbl val="0"/>
      </c:catAx>
      <c:valAx>
        <c:axId val="10784271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426735"/>
        <c:crosses val="autoZero"/>
        <c:crossBetween val="between"/>
      </c:valAx>
      <c:valAx>
        <c:axId val="1078425903"/>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427983"/>
        <c:crosses val="max"/>
        <c:crossBetween val="between"/>
      </c:valAx>
      <c:catAx>
        <c:axId val="1078427983"/>
        <c:scaling>
          <c:orientation val="minMax"/>
        </c:scaling>
        <c:delete val="1"/>
        <c:axPos val="t"/>
        <c:numFmt formatCode="General" sourceLinked="1"/>
        <c:majorTickMark val="none"/>
        <c:minorTickMark val="none"/>
        <c:tickLblPos val="nextTo"/>
        <c:crossAx val="1078425903"/>
        <c:crosses val="max"/>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Application Data Analysis.xlsx]Charts!Dependents vs loan amt</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Dependents Vs Loan Amount &amp; Approval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solidFill>
            <a:round/>
          </a:ln>
          <a:effectLst/>
        </c:spPr>
        <c:marker>
          <c:symbol val="none"/>
        </c:marker>
        <c:dLbl>
          <c:idx val="0"/>
          <c:layout>
            <c:manualLayout>
              <c:x val="-5.836575875486387E-2"/>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none"/>
        </c:marker>
        <c:dLbl>
          <c:idx val="0"/>
          <c:layout>
            <c:manualLayout>
              <c:x val="-5.5123216601815822E-2"/>
              <c:y val="-0.277777777777777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2"/>
            </a:solidFill>
            <a:round/>
          </a:ln>
          <a:effectLst/>
        </c:spPr>
        <c:marker>
          <c:symbol val="none"/>
        </c:marker>
        <c:dLbl>
          <c:idx val="0"/>
          <c:layout>
            <c:manualLayout>
              <c:x val="-5.1880674448767837E-2"/>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solidFill>
            <a:round/>
          </a:ln>
          <a:effectLst/>
        </c:spPr>
        <c:marker>
          <c:symbol val="none"/>
        </c:marker>
        <c:dLbl>
          <c:idx val="0"/>
          <c:layout>
            <c:manualLayout>
              <c:x val="-5.5123216601815885E-2"/>
              <c:y val="-0.175925925925926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none"/>
        </c:marker>
        <c:dLbl>
          <c:idx val="0"/>
          <c:layout>
            <c:manualLayout>
              <c:x val="-5.1880674448767837E-2"/>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none"/>
        </c:marker>
        <c:dLbl>
          <c:idx val="0"/>
          <c:layout>
            <c:manualLayout>
              <c:x val="-4.2535706043956456E-2"/>
              <c:y val="-0.363366929009435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solidFill>
            <a:round/>
          </a:ln>
          <a:effectLst/>
        </c:spPr>
        <c:marker>
          <c:symbol val="none"/>
        </c:marker>
        <c:dLbl>
          <c:idx val="0"/>
          <c:layout>
            <c:manualLayout>
              <c:x val="-5.836575875486387E-2"/>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2"/>
            </a:solidFill>
            <a:round/>
          </a:ln>
          <a:effectLst/>
        </c:spPr>
        <c:marker>
          <c:symbol val="none"/>
        </c:marker>
        <c:dLbl>
          <c:idx val="0"/>
          <c:layout>
            <c:manualLayout>
              <c:x val="-5.5123216601815885E-2"/>
              <c:y val="-0.175925925925926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Charts!$B$19</c:f>
              <c:strCache>
                <c:ptCount val="1"/>
                <c:pt idx="0">
                  <c:v>Average of Loan 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Charts!$A$20:$A$24</c:f>
              <c:strCache>
                <c:ptCount val="4"/>
                <c:pt idx="0">
                  <c:v>0</c:v>
                </c:pt>
                <c:pt idx="1">
                  <c:v>1</c:v>
                </c:pt>
                <c:pt idx="2">
                  <c:v>2</c:v>
                </c:pt>
                <c:pt idx="3">
                  <c:v>3+</c:v>
                </c:pt>
              </c:strCache>
            </c:strRef>
          </c:cat>
          <c:val>
            <c:numRef>
              <c:f>Charts!$B$20:$B$24</c:f>
              <c:numCache>
                <c:formatCode>"$"#,##0.00</c:formatCode>
                <c:ptCount val="4"/>
                <c:pt idx="0">
                  <c:v>130.70833333333334</c:v>
                </c:pt>
                <c:pt idx="1">
                  <c:v>152.40196078431373</c:v>
                </c:pt>
                <c:pt idx="2">
                  <c:v>145.76237623762376</c:v>
                </c:pt>
                <c:pt idx="3">
                  <c:v>183.41176470588235</c:v>
                </c:pt>
              </c:numCache>
            </c:numRef>
          </c:val>
          <c:extLst>
            <c:ext xmlns:c16="http://schemas.microsoft.com/office/drawing/2014/chart" uri="{C3380CC4-5D6E-409C-BE32-E72D297353CC}">
              <c16:uniqueId val="{00000000-EB0E-4CA3-997D-AE2642C428AD}"/>
            </c:ext>
          </c:extLst>
        </c:ser>
        <c:dLbls>
          <c:showLegendKey val="0"/>
          <c:showVal val="1"/>
          <c:showCatName val="0"/>
          <c:showSerName val="0"/>
          <c:showPercent val="0"/>
          <c:showBubbleSize val="0"/>
        </c:dLbls>
        <c:gapWidth val="219"/>
        <c:overlap val="-27"/>
        <c:axId val="1166923375"/>
        <c:axId val="1166923791"/>
      </c:barChart>
      <c:lineChart>
        <c:grouping val="standard"/>
        <c:varyColors val="0"/>
        <c:ser>
          <c:idx val="1"/>
          <c:order val="1"/>
          <c:tx>
            <c:strRef>
              <c:f>Charts!$C$19</c:f>
              <c:strCache>
                <c:ptCount val="1"/>
                <c:pt idx="0">
                  <c:v>% of Approval</c:v>
                </c:pt>
              </c:strCache>
            </c:strRef>
          </c:tx>
          <c:spPr>
            <a:ln w="28575" cap="rnd">
              <a:solidFill>
                <a:schemeClr val="accent2"/>
              </a:solidFill>
              <a:round/>
            </a:ln>
            <a:effectLst/>
          </c:spPr>
          <c:marker>
            <c:symbol val="none"/>
          </c:marker>
          <c:dPt>
            <c:idx val="0"/>
            <c:marker>
              <c:symbol val="none"/>
            </c:marker>
            <c:bubble3D val="0"/>
            <c:spPr>
              <a:ln w="28575" cap="rnd">
                <a:solidFill>
                  <a:schemeClr val="accent2"/>
                </a:solidFill>
                <a:round/>
              </a:ln>
              <a:effectLst/>
            </c:spPr>
            <c:extLst>
              <c:ext xmlns:c16="http://schemas.microsoft.com/office/drawing/2014/chart" uri="{C3380CC4-5D6E-409C-BE32-E72D297353CC}">
                <c16:uniqueId val="{00000001-EB0E-4CA3-997D-AE2642C428AD}"/>
              </c:ext>
            </c:extLst>
          </c:dPt>
          <c:dPt>
            <c:idx val="1"/>
            <c:marker>
              <c:symbol val="none"/>
            </c:marker>
            <c:bubble3D val="0"/>
            <c:spPr>
              <a:ln w="28575" cap="rnd">
                <a:solidFill>
                  <a:schemeClr val="accent2"/>
                </a:solidFill>
                <a:round/>
              </a:ln>
              <a:effectLst/>
            </c:spPr>
            <c:extLst>
              <c:ext xmlns:c16="http://schemas.microsoft.com/office/drawing/2014/chart" uri="{C3380CC4-5D6E-409C-BE32-E72D297353CC}">
                <c16:uniqueId val="{00000002-EB0E-4CA3-997D-AE2642C428AD}"/>
              </c:ext>
            </c:extLst>
          </c:dPt>
          <c:dPt>
            <c:idx val="2"/>
            <c:marker>
              <c:symbol val="none"/>
            </c:marker>
            <c:bubble3D val="0"/>
            <c:spPr>
              <a:ln w="28575" cap="rnd">
                <a:solidFill>
                  <a:schemeClr val="accent2"/>
                </a:solidFill>
                <a:round/>
              </a:ln>
              <a:effectLst/>
            </c:spPr>
            <c:extLst>
              <c:ext xmlns:c16="http://schemas.microsoft.com/office/drawing/2014/chart" uri="{C3380CC4-5D6E-409C-BE32-E72D297353CC}">
                <c16:uniqueId val="{00000003-EB0E-4CA3-997D-AE2642C428AD}"/>
              </c:ext>
            </c:extLst>
          </c:dPt>
          <c:dPt>
            <c:idx val="3"/>
            <c:marker>
              <c:symbol val="none"/>
            </c:marker>
            <c:bubble3D val="0"/>
            <c:spPr>
              <a:ln w="28575" cap="rnd">
                <a:solidFill>
                  <a:schemeClr val="accent2"/>
                </a:solidFill>
                <a:round/>
              </a:ln>
              <a:effectLst/>
            </c:spPr>
            <c:extLst>
              <c:ext xmlns:c16="http://schemas.microsoft.com/office/drawing/2014/chart" uri="{C3380CC4-5D6E-409C-BE32-E72D297353CC}">
                <c16:uniqueId val="{00000004-EB0E-4CA3-997D-AE2642C428AD}"/>
              </c:ext>
            </c:extLst>
          </c:dPt>
          <c:dLbls>
            <c:dLbl>
              <c:idx val="0"/>
              <c:layout>
                <c:manualLayout>
                  <c:x val="-5.1880674448767837E-2"/>
                  <c:y val="-0.152777777777777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B0E-4CA3-997D-AE2642C428AD}"/>
                </c:ext>
              </c:extLst>
            </c:dLbl>
            <c:dLbl>
              <c:idx val="1"/>
              <c:layout>
                <c:manualLayout>
                  <c:x val="-4.2535706043956456E-2"/>
                  <c:y val="-0.363366929009435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B0E-4CA3-997D-AE2642C428AD}"/>
                </c:ext>
              </c:extLst>
            </c:dLbl>
            <c:dLbl>
              <c:idx val="2"/>
              <c:layout>
                <c:manualLayout>
                  <c:x val="-5.836575875486387E-2"/>
                  <c:y val="-8.333333333333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B0E-4CA3-997D-AE2642C428AD}"/>
                </c:ext>
              </c:extLst>
            </c:dLbl>
            <c:dLbl>
              <c:idx val="3"/>
              <c:layout>
                <c:manualLayout>
                  <c:x val="-5.5123216601815885E-2"/>
                  <c:y val="-0.175925925925926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B0E-4CA3-997D-AE2642C428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Charts!$A$20:$A$24</c:f>
              <c:strCache>
                <c:ptCount val="4"/>
                <c:pt idx="0">
                  <c:v>0</c:v>
                </c:pt>
                <c:pt idx="1">
                  <c:v>1</c:v>
                </c:pt>
                <c:pt idx="2">
                  <c:v>2</c:v>
                </c:pt>
                <c:pt idx="3">
                  <c:v>3+</c:v>
                </c:pt>
              </c:strCache>
            </c:strRef>
          </c:cat>
          <c:val>
            <c:numRef>
              <c:f>Charts!$C$20:$C$24</c:f>
              <c:numCache>
                <c:formatCode>0%</c:formatCode>
                <c:ptCount val="4"/>
                <c:pt idx="0">
                  <c:v>0.68611111111111112</c:v>
                </c:pt>
                <c:pt idx="1">
                  <c:v>0.6470588235294118</c:v>
                </c:pt>
                <c:pt idx="2">
                  <c:v>0.75247524752475248</c:v>
                </c:pt>
                <c:pt idx="3">
                  <c:v>0.6470588235294118</c:v>
                </c:pt>
              </c:numCache>
            </c:numRef>
          </c:val>
          <c:smooth val="0"/>
          <c:extLst>
            <c:ext xmlns:c16="http://schemas.microsoft.com/office/drawing/2014/chart" uri="{C3380CC4-5D6E-409C-BE32-E72D297353CC}">
              <c16:uniqueId val="{00000005-EB0E-4CA3-997D-AE2642C428AD}"/>
            </c:ext>
          </c:extLst>
        </c:ser>
        <c:dLbls>
          <c:showLegendKey val="0"/>
          <c:showVal val="1"/>
          <c:showCatName val="0"/>
          <c:showSerName val="0"/>
          <c:showPercent val="0"/>
          <c:showBubbleSize val="0"/>
        </c:dLbls>
        <c:marker val="1"/>
        <c:smooth val="0"/>
        <c:axId val="1166911727"/>
        <c:axId val="1166909647"/>
      </c:lineChart>
      <c:catAx>
        <c:axId val="1166923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923791"/>
        <c:crosses val="autoZero"/>
        <c:auto val="1"/>
        <c:lblAlgn val="ctr"/>
        <c:lblOffset val="100"/>
        <c:noMultiLvlLbl val="0"/>
      </c:catAx>
      <c:valAx>
        <c:axId val="1166923791"/>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923375"/>
        <c:crosses val="autoZero"/>
        <c:crossBetween val="between"/>
      </c:valAx>
      <c:valAx>
        <c:axId val="1166909647"/>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911727"/>
        <c:crosses val="max"/>
        <c:crossBetween val="between"/>
      </c:valAx>
      <c:catAx>
        <c:axId val="1166911727"/>
        <c:scaling>
          <c:orientation val="minMax"/>
        </c:scaling>
        <c:delete val="1"/>
        <c:axPos val="b"/>
        <c:numFmt formatCode="General" sourceLinked="1"/>
        <c:majorTickMark val="out"/>
        <c:minorTickMark val="none"/>
        <c:tickLblPos val="nextTo"/>
        <c:crossAx val="116690964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innerShdw blurRad="114300">
        <a:prstClr val="black"/>
      </a:innerShdw>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Application Data Analysis.xlsx]Charts!Loan term vs app rate</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Loan Term Vs Approval Rate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76200" dist="25400" dir="5400000" algn="ctr" rotWithShape="0">
              <a:srgbClr val="000000">
                <a:alpha val="60000"/>
              </a:srgbClr>
            </a:outerShdw>
          </a:effectLst>
        </c:spPr>
        <c:marker>
          <c:symbol val="circle"/>
          <c:size val="6"/>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w="9525">
              <a:solidFill>
                <a:schemeClr val="accent2"/>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Charts!$F$3</c:f>
              <c:strCache>
                <c:ptCount val="1"/>
                <c:pt idx="0">
                  <c:v>Average of Approval Flag</c:v>
                </c:pt>
              </c:strCache>
            </c:strRef>
          </c:tx>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cat>
            <c:strRef>
              <c:f>Charts!$E$4:$E$7</c:f>
              <c:strCache>
                <c:ptCount val="3"/>
                <c:pt idx="0">
                  <c:v>Short Term</c:v>
                </c:pt>
                <c:pt idx="1">
                  <c:v>Medium Term</c:v>
                </c:pt>
                <c:pt idx="2">
                  <c:v>Long Term</c:v>
                </c:pt>
              </c:strCache>
            </c:strRef>
          </c:cat>
          <c:val>
            <c:numRef>
              <c:f>Charts!$F$4:$F$7</c:f>
              <c:numCache>
                <c:formatCode>0%</c:formatCode>
                <c:ptCount val="3"/>
                <c:pt idx="0">
                  <c:v>0.75</c:v>
                </c:pt>
                <c:pt idx="1">
                  <c:v>0.65573770491803274</c:v>
                </c:pt>
                <c:pt idx="2">
                  <c:v>0.6894639556377079</c:v>
                </c:pt>
              </c:numCache>
            </c:numRef>
          </c:val>
          <c:extLst>
            <c:ext xmlns:c16="http://schemas.microsoft.com/office/drawing/2014/chart" uri="{C3380CC4-5D6E-409C-BE32-E72D297353CC}">
              <c16:uniqueId val="{00000000-FE33-498D-A8F8-60E968B6901B}"/>
            </c:ext>
          </c:extLst>
        </c:ser>
        <c:dLbls>
          <c:showLegendKey val="0"/>
          <c:showVal val="0"/>
          <c:showCatName val="0"/>
          <c:showSerName val="0"/>
          <c:showPercent val="0"/>
          <c:showBubbleSize val="0"/>
        </c:dLbls>
        <c:gapWidth val="219"/>
        <c:axId val="1080982063"/>
        <c:axId val="1080982895"/>
      </c:barChart>
      <c:lineChart>
        <c:grouping val="standard"/>
        <c:varyColors val="0"/>
        <c:ser>
          <c:idx val="1"/>
          <c:order val="1"/>
          <c:tx>
            <c:strRef>
              <c:f>Charts!$G$3</c:f>
              <c:strCache>
                <c:ptCount val="1"/>
                <c:pt idx="0">
                  <c:v>Average of Loan Amount</c:v>
                </c:pt>
              </c:strCache>
            </c:strRef>
          </c:tx>
          <c:spPr>
            <a:ln w="34925" cap="rnd">
              <a:solidFill>
                <a:schemeClr val="accent2"/>
              </a:solidFill>
              <a:round/>
            </a:ln>
            <a:effectLst>
              <a:outerShdw blurRad="76200" dist="25400" dir="5400000" algn="ctr" rotWithShape="0">
                <a:srgbClr val="000000">
                  <a:alpha val="60000"/>
                </a:srgbClr>
              </a:outerShdw>
            </a:effectLst>
          </c:spPr>
          <c:marker>
            <c:symbol val="circle"/>
            <c:size val="6"/>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w="9525">
                <a:solidFill>
                  <a:schemeClr val="accent2"/>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cat>
            <c:strRef>
              <c:f>Charts!$E$4:$E$7</c:f>
              <c:strCache>
                <c:ptCount val="3"/>
                <c:pt idx="0">
                  <c:v>Short Term</c:v>
                </c:pt>
                <c:pt idx="1">
                  <c:v>Medium Term</c:v>
                </c:pt>
                <c:pt idx="2">
                  <c:v>Long Term</c:v>
                </c:pt>
              </c:strCache>
            </c:strRef>
          </c:cat>
          <c:val>
            <c:numRef>
              <c:f>Charts!$G$4:$G$7</c:f>
              <c:numCache>
                <c:formatCode>"$"#,##0.00</c:formatCode>
                <c:ptCount val="3"/>
                <c:pt idx="0">
                  <c:v>101.83333333333333</c:v>
                </c:pt>
                <c:pt idx="1">
                  <c:v>146.85245901639345</c:v>
                </c:pt>
                <c:pt idx="2">
                  <c:v>141.39741219963031</c:v>
                </c:pt>
              </c:numCache>
            </c:numRef>
          </c:val>
          <c:smooth val="0"/>
          <c:extLst>
            <c:ext xmlns:c16="http://schemas.microsoft.com/office/drawing/2014/chart" uri="{C3380CC4-5D6E-409C-BE32-E72D297353CC}">
              <c16:uniqueId val="{00000001-FE33-498D-A8F8-60E968B6901B}"/>
            </c:ext>
          </c:extLst>
        </c:ser>
        <c:dLbls>
          <c:showLegendKey val="0"/>
          <c:showVal val="0"/>
          <c:showCatName val="0"/>
          <c:showSerName val="0"/>
          <c:showPercent val="0"/>
          <c:showBubbleSize val="0"/>
        </c:dLbls>
        <c:marker val="1"/>
        <c:smooth val="0"/>
        <c:axId val="1080987055"/>
        <c:axId val="1080972079"/>
      </c:lineChart>
      <c:catAx>
        <c:axId val="10809820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0982895"/>
        <c:crosses val="autoZero"/>
        <c:auto val="1"/>
        <c:lblAlgn val="ctr"/>
        <c:lblOffset val="100"/>
        <c:noMultiLvlLbl val="0"/>
      </c:catAx>
      <c:valAx>
        <c:axId val="1080982895"/>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0982063"/>
        <c:crosses val="autoZero"/>
        <c:crossBetween val="between"/>
      </c:valAx>
      <c:valAx>
        <c:axId val="1080972079"/>
        <c:scaling>
          <c:orientation val="minMax"/>
        </c:scaling>
        <c:delete val="0"/>
        <c:axPos val="r"/>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0987055"/>
        <c:crosses val="max"/>
        <c:crossBetween val="between"/>
      </c:valAx>
      <c:catAx>
        <c:axId val="1080987055"/>
        <c:scaling>
          <c:orientation val="minMax"/>
        </c:scaling>
        <c:delete val="1"/>
        <c:axPos val="b"/>
        <c:numFmt formatCode="General" sourceLinked="1"/>
        <c:majorTickMark val="none"/>
        <c:minorTickMark val="none"/>
        <c:tickLblPos val="nextTo"/>
        <c:crossAx val="108097207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Application Data Analysis.xlsx]Charts!app probability vs income band</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Approval Probability by Income Band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76200" dist="25400" dir="5400000" algn="ctr" rotWithShape="0">
              <a:srgbClr val="000000">
                <a:alpha val="60000"/>
              </a:srgbClr>
            </a:outerShdw>
          </a:effectLst>
        </c:spPr>
        <c:marker>
          <c:symbol val="circle"/>
          <c:size val="6"/>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w="9525">
              <a:solidFill>
                <a:schemeClr val="accent1"/>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Charts!$F$11</c:f>
              <c:strCache>
                <c:ptCount val="1"/>
                <c:pt idx="0">
                  <c:v>Total</c:v>
                </c:pt>
              </c:strCache>
            </c:strRef>
          </c:tx>
          <c:spPr>
            <a:ln w="34925" cap="rnd">
              <a:solidFill>
                <a:schemeClr val="accent1"/>
              </a:solidFill>
              <a:round/>
            </a:ln>
            <a:effectLst>
              <a:outerShdw blurRad="76200" dist="25400" dir="5400000" algn="ctr" rotWithShape="0">
                <a:srgbClr val="000000">
                  <a:alpha val="60000"/>
                </a:srgbClr>
              </a:outerShdw>
            </a:effectLst>
          </c:spPr>
          <c:marker>
            <c:symbol val="circle"/>
            <c:size val="6"/>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w="9525">
                <a:solidFill>
                  <a:schemeClr val="accent1"/>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Charts!$E$12:$E$15</c:f>
              <c:strCache>
                <c:ptCount val="3"/>
                <c:pt idx="0">
                  <c:v>Low</c:v>
                </c:pt>
                <c:pt idx="1">
                  <c:v>Medium</c:v>
                </c:pt>
                <c:pt idx="2">
                  <c:v>High</c:v>
                </c:pt>
              </c:strCache>
            </c:strRef>
          </c:cat>
          <c:val>
            <c:numRef>
              <c:f>Charts!$F$12:$F$15</c:f>
              <c:numCache>
                <c:formatCode>0%</c:formatCode>
                <c:ptCount val="3"/>
                <c:pt idx="0">
                  <c:v>0.67832167832167833</c:v>
                </c:pt>
                <c:pt idx="1">
                  <c:v>0.69230769230769229</c:v>
                </c:pt>
                <c:pt idx="2">
                  <c:v>0.68421052631578949</c:v>
                </c:pt>
              </c:numCache>
            </c:numRef>
          </c:val>
          <c:smooth val="0"/>
          <c:extLst>
            <c:ext xmlns:c16="http://schemas.microsoft.com/office/drawing/2014/chart" uri="{C3380CC4-5D6E-409C-BE32-E72D297353CC}">
              <c16:uniqueId val="{00000000-742A-492C-8129-DAB80B03F412}"/>
            </c:ext>
          </c:extLst>
        </c:ser>
        <c:dLbls>
          <c:dLblPos val="t"/>
          <c:showLegendKey val="0"/>
          <c:showVal val="1"/>
          <c:showCatName val="0"/>
          <c:showSerName val="0"/>
          <c:showPercent val="0"/>
          <c:showBubbleSize val="0"/>
        </c:dLbls>
        <c:marker val="1"/>
        <c:smooth val="0"/>
        <c:axId val="1080949615"/>
        <c:axId val="1080944623"/>
      </c:lineChart>
      <c:catAx>
        <c:axId val="10809496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944623"/>
        <c:crosses val="autoZero"/>
        <c:auto val="1"/>
        <c:lblAlgn val="ctr"/>
        <c:lblOffset val="100"/>
        <c:noMultiLvlLbl val="0"/>
      </c:catAx>
      <c:valAx>
        <c:axId val="10809446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949615"/>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Loan Amount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Loan Amount Distribution</a:t>
          </a:r>
        </a:p>
      </cx:txPr>
    </cx:title>
    <cx:plotArea>
      <cx:plotAreaRegion>
        <cx:series layoutId="clusteredColumn" uniqueId="{8E074553-F7AD-4036-9B37-3B323CF8BC54}" formatIdx="0">
          <cx:dataId val="0"/>
          <cx:layoutPr>
            <cx:binning intervalClosed="r"/>
          </cx:layoutPr>
        </cx:series>
      </cx:plotAreaRegion>
      <cx:axis id="0">
        <cx:catScaling gapWidth="0"/>
        <cx:tickLabels/>
      </cx:axis>
      <cx:axis id="1">
        <cx:valScaling/>
        <cx:majorGridlines/>
        <cx:tickLabels/>
      </cx:axis>
    </cx:plotArea>
  </cx:chart>
  <cx:spPr>
    <a:effectLst>
      <a:innerShdw blurRad="114300">
        <a:prstClr val="black"/>
      </a:inn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1.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10.xml"/><Relationship Id="rId2" Type="http://schemas.openxmlformats.org/officeDocument/2006/relationships/chart" Target="../charts/chart1.xml"/><Relationship Id="rId1" Type="http://schemas.openxmlformats.org/officeDocument/2006/relationships/image" Target="../media/image2.png"/><Relationship Id="rId6" Type="http://schemas.openxmlformats.org/officeDocument/2006/relationships/chart" Target="../charts/chart5.xml"/><Relationship Id="rId11" Type="http://schemas.openxmlformats.org/officeDocument/2006/relationships/chart" Target="../charts/chart9.xml"/><Relationship Id="rId5" Type="http://schemas.openxmlformats.org/officeDocument/2006/relationships/chart" Target="../charts/chart4.xml"/><Relationship Id="rId10" Type="http://schemas.microsoft.com/office/2014/relationships/chartEx" Target="../charts/chartEx1.xml"/><Relationship Id="rId4" Type="http://schemas.openxmlformats.org/officeDocument/2006/relationships/chart" Target="../charts/chart3.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0</xdr:col>
      <xdr:colOff>194733</xdr:colOff>
      <xdr:row>1</xdr:row>
      <xdr:rowOff>183725</xdr:rowOff>
    </xdr:from>
    <xdr:to>
      <xdr:col>0</xdr:col>
      <xdr:colOff>446437</xdr:colOff>
      <xdr:row>2</xdr:row>
      <xdr:rowOff>250372</xdr:rowOff>
    </xdr:to>
    <xdr:pic>
      <xdr:nvPicPr>
        <xdr:cNvPr id="4" name="Picture 3" descr="46+ Thousand Black Green Home Icon ...">
          <a:extLst>
            <a:ext uri="{FF2B5EF4-FFF2-40B4-BE49-F238E27FC236}">
              <a16:creationId xmlns:a16="http://schemas.microsoft.com/office/drawing/2014/main" id="{B70907BD-D11E-44D4-A1E9-BD5FA054389D}"/>
            </a:ext>
          </a:extLst>
        </xdr:cNvPr>
        <xdr:cNvPicPr>
          <a:picLocks noChangeAspect="1" noChangeArrowheads="1"/>
        </xdr:cNvPicPr>
      </xdr:nvPicPr>
      <xdr:blipFill>
        <a:blip xmlns:r="http://schemas.openxmlformats.org/officeDocument/2006/relationships" r:embed="rId1" cstate="print">
          <a:duotone>
            <a:prstClr val="black"/>
            <a:schemeClr val="accent2">
              <a:tint val="45000"/>
              <a:satMod val="400000"/>
            </a:schemeClr>
          </a:duotone>
          <a:extLst>
            <a:ext uri="{28A0092B-C50C-407E-A947-70E740481C1C}">
              <a14:useLocalDpi xmlns:a14="http://schemas.microsoft.com/office/drawing/2010/main" val="0"/>
            </a:ext>
          </a:extLst>
        </a:blip>
        <a:srcRect/>
        <a:stretch>
          <a:fillRect/>
        </a:stretch>
      </xdr:blipFill>
      <xdr:spPr bwMode="auto">
        <a:xfrm>
          <a:off x="194733" y="368782"/>
          <a:ext cx="251704" cy="2517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209007</xdr:colOff>
      <xdr:row>4</xdr:row>
      <xdr:rowOff>11974</xdr:rowOff>
    </xdr:from>
    <xdr:to>
      <xdr:col>27</xdr:col>
      <xdr:colOff>522515</xdr:colOff>
      <xdr:row>15</xdr:row>
      <xdr:rowOff>65314</xdr:rowOff>
    </xdr:to>
    <xdr:graphicFrame macro="">
      <xdr:nvGraphicFramePr>
        <xdr:cNvPr id="6" name="Chart 1">
          <a:extLst>
            <a:ext uri="{FF2B5EF4-FFF2-40B4-BE49-F238E27FC236}">
              <a16:creationId xmlns:a16="http://schemas.microsoft.com/office/drawing/2014/main" id="{434FD01D-1C16-4C8E-AFDD-E655D577D6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222068</xdr:colOff>
      <xdr:row>42</xdr:row>
      <xdr:rowOff>131414</xdr:rowOff>
    </xdr:from>
    <xdr:to>
      <xdr:col>27</xdr:col>
      <xdr:colOff>544285</xdr:colOff>
      <xdr:row>56</xdr:row>
      <xdr:rowOff>22981</xdr:rowOff>
    </xdr:to>
    <xdr:graphicFrame macro="">
      <xdr:nvGraphicFramePr>
        <xdr:cNvPr id="7" name="Chart 3">
          <a:extLst>
            <a:ext uri="{FF2B5EF4-FFF2-40B4-BE49-F238E27FC236}">
              <a16:creationId xmlns:a16="http://schemas.microsoft.com/office/drawing/2014/main" id="{28D38CE1-1794-4D02-B586-4807FB06C1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217715</xdr:colOff>
      <xdr:row>15</xdr:row>
      <xdr:rowOff>138188</xdr:rowOff>
    </xdr:from>
    <xdr:to>
      <xdr:col>27</xdr:col>
      <xdr:colOff>533400</xdr:colOff>
      <xdr:row>28</xdr:row>
      <xdr:rowOff>22135</xdr:rowOff>
    </xdr:to>
    <xdr:graphicFrame macro="">
      <xdr:nvGraphicFramePr>
        <xdr:cNvPr id="8" name="Chart 2">
          <a:extLst>
            <a:ext uri="{FF2B5EF4-FFF2-40B4-BE49-F238E27FC236}">
              <a16:creationId xmlns:a16="http://schemas.microsoft.com/office/drawing/2014/main" id="{77B7CA95-BBDB-4AA1-99BA-FF5CF2B6FE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66161</xdr:colOff>
      <xdr:row>10</xdr:row>
      <xdr:rowOff>203863</xdr:rowOff>
    </xdr:from>
    <xdr:to>
      <xdr:col>22</xdr:col>
      <xdr:colOff>141515</xdr:colOff>
      <xdr:row>27</xdr:row>
      <xdr:rowOff>141514</xdr:rowOff>
    </xdr:to>
    <xdr:graphicFrame macro="">
      <xdr:nvGraphicFramePr>
        <xdr:cNvPr id="9" name="Chart 4">
          <a:extLst>
            <a:ext uri="{FF2B5EF4-FFF2-40B4-BE49-F238E27FC236}">
              <a16:creationId xmlns:a16="http://schemas.microsoft.com/office/drawing/2014/main" id="{C10F3B9E-5EBE-4F10-89A1-F28B0900B9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241420</xdr:colOff>
      <xdr:row>28</xdr:row>
      <xdr:rowOff>123372</xdr:rowOff>
    </xdr:from>
    <xdr:to>
      <xdr:col>27</xdr:col>
      <xdr:colOff>533400</xdr:colOff>
      <xdr:row>42</xdr:row>
      <xdr:rowOff>11129</xdr:rowOff>
    </xdr:to>
    <xdr:graphicFrame macro="">
      <xdr:nvGraphicFramePr>
        <xdr:cNvPr id="10" name="Chart 5">
          <a:extLst>
            <a:ext uri="{FF2B5EF4-FFF2-40B4-BE49-F238E27FC236}">
              <a16:creationId xmlns:a16="http://schemas.microsoft.com/office/drawing/2014/main" id="{C87CC2A1-0B67-44FE-9A6A-73D124C6CA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10</xdr:row>
      <xdr:rowOff>163286</xdr:rowOff>
    </xdr:from>
    <xdr:to>
      <xdr:col>2</xdr:col>
      <xdr:colOff>10885</xdr:colOff>
      <xdr:row>42</xdr:row>
      <xdr:rowOff>0</xdr:rowOff>
    </xdr:to>
    <xdr:grpSp>
      <xdr:nvGrpSpPr>
        <xdr:cNvPr id="23" name="Group 22">
          <a:extLst>
            <a:ext uri="{FF2B5EF4-FFF2-40B4-BE49-F238E27FC236}">
              <a16:creationId xmlns:a16="http://schemas.microsoft.com/office/drawing/2014/main" id="{1FDD09EE-FA69-4AAA-AB5D-C7909CFAB3F5}"/>
            </a:ext>
          </a:extLst>
        </xdr:cNvPr>
        <xdr:cNvGrpSpPr/>
      </xdr:nvGrpSpPr>
      <xdr:grpSpPr>
        <a:xfrm>
          <a:off x="0" y="2405743"/>
          <a:ext cx="1513114" cy="5638800"/>
          <a:chOff x="15103687" y="779782"/>
          <a:chExt cx="1845194" cy="3928532"/>
        </a:xfrm>
        <a:solidFill>
          <a:sysClr val="window" lastClr="FFFFFF"/>
        </a:solidFill>
        <a:effectLst>
          <a:outerShdw blurRad="50800" dist="38100" dir="16200000" rotWithShape="0">
            <a:prstClr val="black">
              <a:alpha val="40000"/>
            </a:prstClr>
          </a:outerShdw>
        </a:effectLst>
      </xdr:grpSpPr>
      <mc:AlternateContent xmlns:mc="http://schemas.openxmlformats.org/markup-compatibility/2006">
        <mc:Choice xmlns:a14="http://schemas.microsoft.com/office/drawing/2010/main" Requires="a14">
          <xdr:graphicFrame macro="">
            <xdr:nvGraphicFramePr>
              <xdr:cNvPr id="11" name="Gender">
                <a:extLst>
                  <a:ext uri="{FF2B5EF4-FFF2-40B4-BE49-F238E27FC236}">
                    <a16:creationId xmlns:a16="http://schemas.microsoft.com/office/drawing/2014/main" id="{017FF871-9F0F-4D1B-AA7A-D9086065B5AC}"/>
                  </a:ext>
                </a:extLst>
              </xdr:cNvPr>
              <xdr:cNvGraphicFramePr/>
            </xdr:nvGraphicFramePr>
            <xdr:xfrm>
              <a:off x="15103687" y="1648461"/>
              <a:ext cx="1833880" cy="750146"/>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0" y="3652597"/>
                <a:ext cx="1503836" cy="10767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2" name="Married">
                <a:extLst>
                  <a:ext uri="{FF2B5EF4-FFF2-40B4-BE49-F238E27FC236}">
                    <a16:creationId xmlns:a16="http://schemas.microsoft.com/office/drawing/2014/main" id="{41DE8012-D06E-4EF2-A176-694596A2EC43}"/>
                  </a:ext>
                </a:extLst>
              </xdr:cNvPr>
              <xdr:cNvGraphicFramePr/>
            </xdr:nvGraphicFramePr>
            <xdr:xfrm>
              <a:off x="15103687" y="2401994"/>
              <a:ext cx="1833880" cy="775546"/>
            </xdr:xfrm>
            <a:graphic>
              <a:graphicData uri="http://schemas.microsoft.com/office/drawing/2010/slicer">
                <sle:slicer xmlns:sle="http://schemas.microsoft.com/office/drawing/2010/slicer" name="Married"/>
              </a:graphicData>
            </a:graphic>
          </xdr:graphicFrame>
        </mc:Choice>
        <mc:Fallback>
          <xdr:sp macro="" textlink="">
            <xdr:nvSpPr>
              <xdr:cNvPr id="0" name=""/>
              <xdr:cNvSpPr>
                <a:spLocks noTextEdit="1"/>
              </xdr:cNvSpPr>
            </xdr:nvSpPr>
            <xdr:spPr>
              <a:xfrm>
                <a:off x="0" y="4734177"/>
                <a:ext cx="1503836" cy="11131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3" name="Education">
                <a:extLst>
                  <a:ext uri="{FF2B5EF4-FFF2-40B4-BE49-F238E27FC236}">
                    <a16:creationId xmlns:a16="http://schemas.microsoft.com/office/drawing/2014/main" id="{5B88802E-4B51-4351-866C-C324A7319DB0}"/>
                  </a:ext>
                </a:extLst>
              </xdr:cNvPr>
              <xdr:cNvGraphicFramePr/>
            </xdr:nvGraphicFramePr>
            <xdr:xfrm>
              <a:off x="15114999" y="3166533"/>
              <a:ext cx="1833880" cy="778934"/>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9276" y="5831555"/>
                <a:ext cx="1503836" cy="11180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5" name="Credit_History">
                <a:extLst>
                  <a:ext uri="{FF2B5EF4-FFF2-40B4-BE49-F238E27FC236}">
                    <a16:creationId xmlns:a16="http://schemas.microsoft.com/office/drawing/2014/main" id="{6E887014-8C02-4FF3-8153-07697D88BAA8}"/>
                  </a:ext>
                </a:extLst>
              </xdr:cNvPr>
              <xdr:cNvGraphicFramePr/>
            </xdr:nvGraphicFramePr>
            <xdr:xfrm>
              <a:off x="15103687" y="1581574"/>
              <a:ext cx="1832187" cy="746759"/>
            </xdr:xfrm>
            <a:graphic>
              <a:graphicData uri="http://schemas.microsoft.com/office/drawing/2010/slicer">
                <sle:slicer xmlns:sle="http://schemas.microsoft.com/office/drawing/2010/slicer" name="Credit_History"/>
              </a:graphicData>
            </a:graphic>
          </xdr:graphicFrame>
        </mc:Choice>
        <mc:Fallback>
          <xdr:sp macro="" textlink="">
            <xdr:nvSpPr>
              <xdr:cNvPr id="0" name=""/>
              <xdr:cNvSpPr>
                <a:spLocks noTextEdit="1"/>
              </xdr:cNvSpPr>
            </xdr:nvSpPr>
            <xdr:spPr>
              <a:xfrm>
                <a:off x="0" y="3556591"/>
                <a:ext cx="1502448" cy="10718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4" name="Self_Employed">
                <a:extLst>
                  <a:ext uri="{FF2B5EF4-FFF2-40B4-BE49-F238E27FC236}">
                    <a16:creationId xmlns:a16="http://schemas.microsoft.com/office/drawing/2014/main" id="{C5767CE4-5622-45A2-9B60-C297134A70A8}"/>
                  </a:ext>
                </a:extLst>
              </xdr:cNvPr>
              <xdr:cNvGraphicFramePr/>
            </xdr:nvGraphicFramePr>
            <xdr:xfrm>
              <a:off x="15115001" y="3947162"/>
              <a:ext cx="1833880" cy="761152"/>
            </xdr:xfrm>
            <a:graphic>
              <a:graphicData uri="http://schemas.microsoft.com/office/drawing/2010/slicer">
                <sle:slicer xmlns:sle="http://schemas.microsoft.com/office/drawing/2010/slicer" name="Self_Employed"/>
              </a:graphicData>
            </a:graphic>
          </xdr:graphicFrame>
        </mc:Choice>
        <mc:Fallback>
          <xdr:sp macro="" textlink="">
            <xdr:nvSpPr>
              <xdr:cNvPr id="0" name=""/>
              <xdr:cNvSpPr>
                <a:spLocks noTextEdit="1"/>
              </xdr:cNvSpPr>
            </xdr:nvSpPr>
            <xdr:spPr>
              <a:xfrm>
                <a:off x="9278" y="6952027"/>
                <a:ext cx="1503836" cy="10925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6" name="Filter by Property_Area">
                <a:extLst>
                  <a:ext uri="{FF2B5EF4-FFF2-40B4-BE49-F238E27FC236}">
                    <a16:creationId xmlns:a16="http://schemas.microsoft.com/office/drawing/2014/main" id="{F475B4AA-BF1F-43E9-8BCD-3617807C9C50}"/>
                  </a:ext>
                </a:extLst>
              </xdr:cNvPr>
              <xdr:cNvGraphicFramePr/>
            </xdr:nvGraphicFramePr>
            <xdr:xfrm>
              <a:off x="15120620" y="779782"/>
              <a:ext cx="1803400" cy="806872"/>
            </xdr:xfrm>
            <a:graphic>
              <a:graphicData uri="http://schemas.microsoft.com/office/drawing/2010/slicer">
                <sle:slicer xmlns:sle="http://schemas.microsoft.com/office/drawing/2010/slicer" name="Filter by Property_Area"/>
              </a:graphicData>
            </a:graphic>
          </xdr:graphicFrame>
        </mc:Choice>
        <mc:Fallback>
          <xdr:sp macro="" textlink="">
            <xdr:nvSpPr>
              <xdr:cNvPr id="0" name=""/>
              <xdr:cNvSpPr>
                <a:spLocks noTextEdit="1"/>
              </xdr:cNvSpPr>
            </xdr:nvSpPr>
            <xdr:spPr>
              <a:xfrm>
                <a:off x="13886" y="2405743"/>
                <a:ext cx="1478842" cy="1158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xdr:col>
      <xdr:colOff>187719</xdr:colOff>
      <xdr:row>47</xdr:row>
      <xdr:rowOff>119501</xdr:rowOff>
    </xdr:from>
    <xdr:to>
      <xdr:col>11</xdr:col>
      <xdr:colOff>424543</xdr:colOff>
      <xdr:row>66</xdr:row>
      <xdr:rowOff>0</xdr:rowOff>
    </xdr:to>
    <xdr:graphicFrame macro="">
      <xdr:nvGraphicFramePr>
        <xdr:cNvPr id="2" name="Chart 2">
          <a:extLst>
            <a:ext uri="{FF2B5EF4-FFF2-40B4-BE49-F238E27FC236}">
              <a16:creationId xmlns:a16="http://schemas.microsoft.com/office/drawing/2014/main" id="{E750EC33-1202-4785-B9BE-3B08C9A00D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498565</xdr:colOff>
      <xdr:row>10</xdr:row>
      <xdr:rowOff>172476</xdr:rowOff>
    </xdr:from>
    <xdr:to>
      <xdr:col>17</xdr:col>
      <xdr:colOff>1006928</xdr:colOff>
      <xdr:row>27</xdr:row>
      <xdr:rowOff>152400</xdr:rowOff>
    </xdr:to>
    <xdr:graphicFrame macro="">
      <xdr:nvGraphicFramePr>
        <xdr:cNvPr id="3" name="Chart 1">
          <a:extLst>
            <a:ext uri="{FF2B5EF4-FFF2-40B4-BE49-F238E27FC236}">
              <a16:creationId xmlns:a16="http://schemas.microsoft.com/office/drawing/2014/main" id="{A4A4695C-201D-439C-A7F2-C06252BEB1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165463</xdr:colOff>
      <xdr:row>28</xdr:row>
      <xdr:rowOff>85210</xdr:rowOff>
    </xdr:from>
    <xdr:to>
      <xdr:col>11</xdr:col>
      <xdr:colOff>413657</xdr:colOff>
      <xdr:row>46</xdr:row>
      <xdr:rowOff>163285</xdr:rowOff>
    </xdr:to>
    <xdr:graphicFrame macro="">
      <xdr:nvGraphicFramePr>
        <xdr:cNvPr id="5" name="Chart 2">
          <a:extLst>
            <a:ext uri="{FF2B5EF4-FFF2-40B4-BE49-F238E27FC236}">
              <a16:creationId xmlns:a16="http://schemas.microsoft.com/office/drawing/2014/main" id="{2CF0CEFA-E36A-4296-A182-CB2F1D8119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498323</xdr:colOff>
      <xdr:row>28</xdr:row>
      <xdr:rowOff>88898</xdr:rowOff>
    </xdr:from>
    <xdr:to>
      <xdr:col>22</xdr:col>
      <xdr:colOff>141515</xdr:colOff>
      <xdr:row>46</xdr:row>
      <xdr:rowOff>152400</xdr:rowOff>
    </xdr:to>
    <mc:AlternateContent xmlns:mc="http://schemas.openxmlformats.org/markup-compatibility/2006">
      <mc:Choice xmlns:cx1="http://schemas.microsoft.com/office/drawing/2015/9/8/chartex" Requires="cx1">
        <xdr:graphicFrame macro="">
          <xdr:nvGraphicFramePr>
            <xdr:cNvPr id="17" name="Chart 1">
              <a:extLst>
                <a:ext uri="{FF2B5EF4-FFF2-40B4-BE49-F238E27FC236}">
                  <a16:creationId xmlns:a16="http://schemas.microsoft.com/office/drawing/2014/main" id="{B1573B09-47F9-4DD5-8BB1-FC627DCCFB9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7769980" y="5695041"/>
              <a:ext cx="8014306" cy="319858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140304</xdr:colOff>
      <xdr:row>11</xdr:row>
      <xdr:rowOff>7076</xdr:rowOff>
    </xdr:from>
    <xdr:to>
      <xdr:col>11</xdr:col>
      <xdr:colOff>424543</xdr:colOff>
      <xdr:row>28</xdr:row>
      <xdr:rowOff>0</xdr:rowOff>
    </xdr:to>
    <xdr:graphicFrame macro="">
      <xdr:nvGraphicFramePr>
        <xdr:cNvPr id="18" name="Chart 3">
          <a:extLst>
            <a:ext uri="{FF2B5EF4-FFF2-40B4-BE49-F238E27FC236}">
              <a16:creationId xmlns:a16="http://schemas.microsoft.com/office/drawing/2014/main" id="{44F6AB5E-7A00-4207-91CF-EED429FEE4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187717</xdr:colOff>
      <xdr:row>67</xdr:row>
      <xdr:rowOff>40822</xdr:rowOff>
    </xdr:from>
    <xdr:to>
      <xdr:col>11</xdr:col>
      <xdr:colOff>424543</xdr:colOff>
      <xdr:row>87</xdr:row>
      <xdr:rowOff>163286</xdr:rowOff>
    </xdr:to>
    <xdr:graphicFrame macro="">
      <xdr:nvGraphicFramePr>
        <xdr:cNvPr id="24" name="Chart 9">
          <a:extLst>
            <a:ext uri="{FF2B5EF4-FFF2-40B4-BE49-F238E27FC236}">
              <a16:creationId xmlns:a16="http://schemas.microsoft.com/office/drawing/2014/main" id="{35FA4744-6A65-4AB6-9D96-261D17AB75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503766</xdr:colOff>
      <xdr:row>47</xdr:row>
      <xdr:rowOff>130629</xdr:rowOff>
    </xdr:from>
    <xdr:to>
      <xdr:col>22</xdr:col>
      <xdr:colOff>152399</xdr:colOff>
      <xdr:row>65</xdr:row>
      <xdr:rowOff>174170</xdr:rowOff>
    </xdr:to>
    <xdr:graphicFrame macro="">
      <xdr:nvGraphicFramePr>
        <xdr:cNvPr id="25" name="Chart 10">
          <a:extLst>
            <a:ext uri="{FF2B5EF4-FFF2-40B4-BE49-F238E27FC236}">
              <a16:creationId xmlns:a16="http://schemas.microsoft.com/office/drawing/2014/main" id="{988B7DE6-5B2B-4255-95EE-F845DA049E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10886</xdr:colOff>
      <xdr:row>3</xdr:row>
      <xdr:rowOff>10886</xdr:rowOff>
    </xdr:from>
    <xdr:to>
      <xdr:col>6</xdr:col>
      <xdr:colOff>10886</xdr:colOff>
      <xdr:row>7</xdr:row>
      <xdr:rowOff>0</xdr:rowOff>
    </xdr:to>
    <xdr:sp macro="" textlink="">
      <xdr:nvSpPr>
        <xdr:cNvPr id="21" name="Rectangle 20">
          <a:extLst>
            <a:ext uri="{FF2B5EF4-FFF2-40B4-BE49-F238E27FC236}">
              <a16:creationId xmlns:a16="http://schemas.microsoft.com/office/drawing/2014/main" id="{2B5DC5E6-B17F-44D7-902B-C44610DC5711}"/>
            </a:ext>
          </a:extLst>
        </xdr:cNvPr>
        <xdr:cNvSpPr/>
      </xdr:nvSpPr>
      <xdr:spPr>
        <a:xfrm>
          <a:off x="1709057" y="653143"/>
          <a:ext cx="2100943" cy="805543"/>
        </a:xfrm>
        <a:prstGeom prst="rect">
          <a:avLst/>
        </a:prstGeom>
        <a:no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185058</xdr:colOff>
      <xdr:row>2</xdr:row>
      <xdr:rowOff>195944</xdr:rowOff>
    </xdr:from>
    <xdr:to>
      <xdr:col>27</xdr:col>
      <xdr:colOff>522514</xdr:colOff>
      <xdr:row>3</xdr:row>
      <xdr:rowOff>174172</xdr:rowOff>
    </xdr:to>
    <xdr:sp macro="" textlink="">
      <xdr:nvSpPr>
        <xdr:cNvPr id="22" name="Rectangle 21">
          <a:extLst>
            <a:ext uri="{FF2B5EF4-FFF2-40B4-BE49-F238E27FC236}">
              <a16:creationId xmlns:a16="http://schemas.microsoft.com/office/drawing/2014/main" id="{0E935034-6E7A-4358-A9F6-A2F3B8797043}"/>
            </a:ext>
          </a:extLst>
        </xdr:cNvPr>
        <xdr:cNvSpPr/>
      </xdr:nvSpPr>
      <xdr:spPr>
        <a:xfrm>
          <a:off x="15827829" y="566058"/>
          <a:ext cx="3766456" cy="250371"/>
        </a:xfrm>
        <a:prstGeom prst="rect">
          <a:avLst/>
        </a:prstGeom>
        <a:solidFill>
          <a:sysClr val="window" lastClr="FFFFFF"/>
        </a:solidFill>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ysClr val="windowText" lastClr="000000"/>
              </a:solidFill>
            </a:rPr>
            <a:t>Approval</a:t>
          </a:r>
          <a:r>
            <a:rPr lang="en-US" sz="1200" b="1" baseline="0">
              <a:solidFill>
                <a:sysClr val="windowText" lastClr="000000"/>
              </a:solidFill>
            </a:rPr>
            <a:t> by Demographics</a:t>
          </a:r>
          <a:endParaRPr lang="en-US" sz="1200" b="1">
            <a:solidFill>
              <a:sysClr val="windowText" lastClr="00000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spiron" refreshedDate="45952.455818055554" createdVersion="6" refreshedVersion="7" minRefreshableVersion="3" recordCount="614" xr:uid="{00000000-000A-0000-FFFF-FFFF0C000000}">
  <cacheSource type="worksheet">
    <worksheetSource name="Table"/>
  </cacheSource>
  <cacheFields count="22">
    <cacheField name="Loan_ID" numFmtId="0">
      <sharedItems/>
    </cacheField>
    <cacheField name="Gender" numFmtId="0">
      <sharedItems count="2">
        <s v="Male"/>
        <s v="Female"/>
      </sharedItems>
    </cacheField>
    <cacheField name="Married" numFmtId="0">
      <sharedItems count="2">
        <s v="No"/>
        <s v="Yes"/>
      </sharedItems>
    </cacheField>
    <cacheField name="Dependents" numFmtId="0">
      <sharedItems containsSemiMixedTypes="0" containsString="0" containsNumber="1" containsInteger="1" minValue="0" maxValue="3" count="4">
        <n v="0"/>
        <n v="1"/>
        <n v="2"/>
        <n v="3"/>
      </sharedItems>
    </cacheField>
    <cacheField name="Education" numFmtId="0">
      <sharedItems count="2">
        <s v="Graduate"/>
        <s v="Not Graduate"/>
      </sharedItems>
    </cacheField>
    <cacheField name="Self_Employed" numFmtId="0">
      <sharedItems count="2">
        <s v="No"/>
        <s v="Yes"/>
      </sharedItems>
    </cacheField>
    <cacheField name="Applicant Income" numFmtId="164">
      <sharedItems containsSemiMixedTypes="0" containsString="0" containsNumber="1" containsInteger="1" minValue="150" maxValue="81000" count="505">
        <n v="5849"/>
        <n v="4583"/>
        <n v="3000"/>
        <n v="2583"/>
        <n v="6000"/>
        <n v="5417"/>
        <n v="2333"/>
        <n v="3036"/>
        <n v="4006"/>
        <n v="12841"/>
        <n v="3200"/>
        <n v="2500"/>
        <n v="3073"/>
        <n v="1853"/>
        <n v="1299"/>
        <n v="4950"/>
        <n v="3596"/>
        <n v="3510"/>
        <n v="4887"/>
        <n v="2600"/>
        <n v="7660"/>
        <n v="5955"/>
        <n v="3365"/>
        <n v="3717"/>
        <n v="9560"/>
        <n v="2799"/>
        <n v="4226"/>
        <n v="1442"/>
        <n v="3750"/>
        <n v="4166"/>
        <n v="3167"/>
        <n v="4692"/>
        <n v="3500"/>
        <n v="12500"/>
        <n v="2275"/>
        <n v="1828"/>
        <n v="3667"/>
        <n v="3748"/>
        <n v="3600"/>
        <n v="1800"/>
        <n v="2400"/>
        <n v="3941"/>
        <n v="4695"/>
        <n v="3410"/>
        <n v="5649"/>
        <n v="5821"/>
        <n v="2645"/>
        <n v="4000"/>
        <n v="1928"/>
        <n v="3086"/>
        <n v="4230"/>
        <n v="4616"/>
        <n v="11500"/>
        <n v="2708"/>
        <n v="2132"/>
        <n v="3366"/>
        <n v="8080"/>
        <n v="3357"/>
        <n v="3029"/>
        <n v="2609"/>
        <n v="4945"/>
        <n v="5726"/>
        <n v="10750"/>
        <n v="7100"/>
        <n v="4300"/>
        <n v="3208"/>
        <n v="1875"/>
        <n v="4755"/>
        <n v="5266"/>
        <n v="1000"/>
        <n v="3333"/>
        <n v="3846"/>
        <n v="2395"/>
        <n v="1378"/>
        <n v="3988"/>
        <n v="2366"/>
        <n v="8566"/>
        <n v="5695"/>
        <n v="2958"/>
        <n v="6250"/>
        <n v="3273"/>
        <n v="4133"/>
        <n v="3620"/>
        <n v="6782"/>
        <n v="2484"/>
        <n v="1977"/>
        <n v="4188"/>
        <n v="1759"/>
        <n v="4288"/>
        <n v="4843"/>
        <n v="13650"/>
        <n v="4652"/>
        <n v="3816"/>
        <n v="3052"/>
        <n v="11417"/>
        <n v="7333"/>
        <n v="3800"/>
        <n v="2071"/>
        <n v="5316"/>
        <n v="2929"/>
        <n v="3572"/>
        <n v="7451"/>
        <n v="5050"/>
        <n v="14583"/>
        <n v="2214"/>
        <n v="5568"/>
        <n v="10408"/>
        <n v="5667"/>
        <n v="2137"/>
        <n v="2957"/>
        <n v="3692"/>
        <n v="23803"/>
        <n v="3865"/>
        <n v="10513"/>
        <n v="6080"/>
        <n v="20166"/>
        <n v="2014"/>
        <n v="2718"/>
        <n v="3459"/>
        <n v="4895"/>
        <n v="3316"/>
        <n v="14999"/>
        <n v="4200"/>
        <n v="5042"/>
        <n v="6950"/>
        <n v="2698"/>
        <n v="11757"/>
        <n v="2330"/>
        <n v="14866"/>
        <n v="1538"/>
        <n v="10000"/>
        <n v="4860"/>
        <n v="6277"/>
        <n v="2577"/>
        <n v="9166"/>
        <n v="2281"/>
        <n v="3254"/>
        <n v="39999"/>
        <n v="9538"/>
        <n v="2980"/>
        <n v="1863"/>
        <n v="7933"/>
        <n v="3089"/>
        <n v="4167"/>
        <n v="9323"/>
        <n v="3707"/>
        <n v="2439"/>
        <n v="2237"/>
        <n v="8000"/>
        <n v="1820"/>
        <n v="51763"/>
        <n v="3522"/>
        <n v="5708"/>
        <n v="4344"/>
        <n v="3497"/>
        <n v="2045"/>
        <n v="5516"/>
        <n v="6400"/>
        <n v="1916"/>
        <n v="4600"/>
        <n v="33846"/>
        <n v="3625"/>
        <n v="39147"/>
        <n v="2178"/>
        <n v="2383"/>
        <n v="674"/>
        <n v="9328"/>
        <n v="4885"/>
        <n v="12000"/>
        <n v="6033"/>
        <n v="3858"/>
        <n v="4191"/>
        <n v="3125"/>
        <n v="8333"/>
        <n v="1907"/>
        <n v="3416"/>
        <n v="11000"/>
        <n v="4923"/>
        <n v="3992"/>
        <n v="3917"/>
        <n v="4408"/>
        <n v="3244"/>
        <n v="3975"/>
        <n v="2479"/>
        <n v="3418"/>
        <n v="3430"/>
        <n v="7787"/>
        <n v="5703"/>
        <n v="3173"/>
        <n v="3850"/>
        <n v="150"/>
        <n v="3727"/>
        <n v="5000"/>
        <n v="4283"/>
        <n v="2221"/>
        <n v="4009"/>
        <n v="2971"/>
        <n v="7578"/>
        <n v="3250"/>
        <n v="4735"/>
        <n v="4758"/>
        <n v="2491"/>
        <n v="3716"/>
        <n v="3189"/>
        <n v="3155"/>
        <n v="5500"/>
        <n v="5746"/>
        <n v="3463"/>
        <n v="3812"/>
        <n v="3315"/>
        <n v="5819"/>
        <n v="2510"/>
        <n v="2965"/>
        <n v="3406"/>
        <n v="6050"/>
        <n v="9703"/>
        <n v="6608"/>
        <n v="2882"/>
        <n v="1809"/>
        <n v="1668"/>
        <n v="3427"/>
        <n v="2661"/>
        <n v="16250"/>
        <n v="3083"/>
        <n v="6045"/>
        <n v="5250"/>
        <n v="14683"/>
        <n v="4931"/>
        <n v="6083"/>
        <n v="2060"/>
        <n v="3481"/>
        <n v="7200"/>
        <n v="5166"/>
        <n v="4095"/>
        <n v="4708"/>
        <n v="4333"/>
        <n v="2876"/>
        <n v="3237"/>
        <n v="11146"/>
        <n v="2833"/>
        <n v="2620"/>
        <n v="3900"/>
        <n v="2750"/>
        <n v="3993"/>
        <n v="3103"/>
        <n v="4100"/>
        <n v="4053"/>
        <n v="3927"/>
        <n v="2301"/>
        <n v="1811"/>
        <n v="20667"/>
        <n v="3158"/>
        <n v="3704"/>
        <n v="4124"/>
        <n v="9508"/>
        <n v="3075"/>
        <n v="4400"/>
        <n v="3153"/>
        <n v="4416"/>
        <n v="6875"/>
        <n v="4666"/>
        <n v="2875"/>
        <n v="1625"/>
        <n v="2000"/>
        <n v="3762"/>
        <n v="20233"/>
        <n v="7667"/>
        <n v="2917"/>
        <n v="2927"/>
        <n v="2507"/>
        <n v="2473"/>
        <n v="3399"/>
        <n v="2058"/>
        <n v="3541"/>
        <n v="4342"/>
        <n v="3601"/>
        <n v="3166"/>
        <n v="15000"/>
        <n v="8666"/>
        <n v="4917"/>
        <n v="5818"/>
        <n v="4384"/>
        <n v="2935"/>
        <n v="63337"/>
        <n v="9833"/>
        <n v="5503"/>
        <n v="1830"/>
        <n v="4160"/>
        <n v="2647"/>
        <n v="2378"/>
        <n v="4554"/>
        <n v="2499"/>
        <n v="3523"/>
        <n v="6333"/>
        <n v="2625"/>
        <n v="9083"/>
        <n v="8750"/>
        <n v="2666"/>
        <n v="2423"/>
        <n v="3813"/>
        <n v="3875"/>
        <n v="5167"/>
        <n v="4723"/>
        <n v="4750"/>
        <n v="3013"/>
        <n v="6822"/>
        <n v="6216"/>
        <n v="5124"/>
        <n v="6325"/>
        <n v="19730"/>
        <n v="15759"/>
        <n v="5185"/>
        <n v="3062"/>
        <n v="2764"/>
        <n v="4817"/>
        <n v="4310"/>
        <n v="3069"/>
        <n v="5391"/>
        <n v="5941"/>
        <n v="7167"/>
        <n v="4566"/>
        <n v="2346"/>
        <n v="3010"/>
        <n v="5488"/>
        <n v="9167"/>
        <n v="9504"/>
        <n v="1993"/>
        <n v="3100"/>
        <n v="3276"/>
        <n v="3180"/>
        <n v="3033"/>
        <n v="3902"/>
        <n v="1500"/>
        <n v="2889"/>
        <n v="2755"/>
        <n v="1963"/>
        <n v="7441"/>
        <n v="4547"/>
        <n v="2167"/>
        <n v="2213"/>
        <n v="8300"/>
        <n v="81000"/>
        <n v="3867"/>
        <n v="6256"/>
        <n v="6096"/>
        <n v="2253"/>
        <n v="2149"/>
        <n v="2995"/>
        <n v="1600"/>
        <n v="1025"/>
        <n v="3246"/>
        <n v="5829"/>
        <n v="2720"/>
        <n v="7250"/>
        <n v="14880"/>
        <n v="4606"/>
        <n v="5935"/>
        <n v="2920"/>
        <n v="2717"/>
        <n v="8624"/>
        <n v="6500"/>
        <n v="12876"/>
        <n v="2425"/>
        <n v="10047"/>
        <n v="1926"/>
        <n v="10416"/>
        <n v="7142"/>
        <n v="3660"/>
        <n v="7901"/>
        <n v="4707"/>
        <n v="37719"/>
        <n v="3466"/>
        <n v="3539"/>
        <n v="3340"/>
        <n v="2769"/>
        <n v="2309"/>
        <n v="1958"/>
        <n v="3948"/>
        <n v="2483"/>
        <n v="7085"/>
        <n v="3859"/>
        <n v="4301"/>
        <n v="3708"/>
        <n v="4354"/>
        <n v="8334"/>
        <n v="2083"/>
        <n v="7740"/>
        <n v="3015"/>
        <n v="5191"/>
        <n v="2947"/>
        <n v="16692"/>
        <n v="210"/>
        <n v="3450"/>
        <n v="2653"/>
        <n v="4691"/>
        <n v="5532"/>
        <n v="16525"/>
        <n v="6700"/>
        <n v="2873"/>
        <n v="16667"/>
        <n v="4350"/>
        <n v="3095"/>
        <n v="10833"/>
        <n v="3547"/>
        <n v="18333"/>
        <n v="2435"/>
        <n v="2699"/>
        <n v="5333"/>
        <n v="3691"/>
        <n v="17263"/>
        <n v="3597"/>
        <n v="3326"/>
        <n v="4625"/>
        <n v="2895"/>
        <n v="6283"/>
        <n v="645"/>
        <n v="3159"/>
        <n v="4865"/>
        <n v="4050"/>
        <n v="3814"/>
        <n v="20833"/>
        <n v="3583"/>
        <n v="13262"/>
        <n v="3598"/>
        <n v="6065"/>
        <n v="3283"/>
        <n v="2130"/>
        <n v="5815"/>
        <n v="2031"/>
        <n v="3074"/>
        <n v="4683"/>
        <n v="3400"/>
        <n v="2192"/>
        <n v="5677"/>
        <n v="7948"/>
        <n v="4680"/>
        <n v="17500"/>
        <n v="3775"/>
        <n v="5285"/>
        <n v="2679"/>
        <n v="6783"/>
        <n v="4281"/>
        <n v="3588"/>
        <n v="11250"/>
        <n v="18165"/>
        <n v="2550"/>
        <n v="6133"/>
        <n v="3617"/>
        <n v="6417"/>
        <n v="4608"/>
        <n v="2138"/>
        <n v="3652"/>
        <n v="2239"/>
        <n v="3017"/>
        <n v="2768"/>
        <n v="3358"/>
        <n v="2526"/>
        <n v="2785"/>
        <n v="6633"/>
        <n v="2492"/>
        <n v="2454"/>
        <n v="3593"/>
        <n v="5468"/>
        <n v="2667"/>
        <n v="10139"/>
        <n v="3887"/>
        <n v="4180"/>
        <n v="3675"/>
        <n v="19484"/>
        <n v="5923"/>
        <n v="5800"/>
        <n v="8799"/>
        <n v="4467"/>
        <n v="3417"/>
        <n v="5116"/>
        <n v="16666"/>
        <n v="6125"/>
        <n v="6406"/>
        <n v="3087"/>
        <n v="3229"/>
        <n v="1782"/>
        <n v="3182"/>
        <n v="6540"/>
        <n v="1836"/>
        <n v="1880"/>
        <n v="2787"/>
        <n v="2297"/>
        <n v="2165"/>
        <n v="2726"/>
        <n v="9357"/>
        <n v="16120"/>
        <n v="3833"/>
        <n v="6383"/>
        <n v="2987"/>
        <n v="9963"/>
        <n v="5780"/>
        <n v="416"/>
        <n v="2894"/>
        <n v="3676"/>
        <n v="3987"/>
        <n v="3232"/>
        <n v="2900"/>
        <n v="4106"/>
        <n v="8072"/>
        <n v="7583"/>
      </sharedItems>
      <fieldGroup base="6">
        <rangePr autoStart="0" startNum="0" endNum="81000" groupInterval="2000"/>
        <groupItems count="43">
          <s v="&lt;0"/>
          <s v="0-1999"/>
          <s v="2000-3999"/>
          <s v="4000-5999"/>
          <s v="6000-7999"/>
          <s v="8000-9999"/>
          <s v="10000-11999"/>
          <s v="12000-13999"/>
          <s v="14000-15999"/>
          <s v="16000-17999"/>
          <s v="18000-19999"/>
          <s v="20000-21999"/>
          <s v="22000-23999"/>
          <s v="24000-25999"/>
          <s v="26000-27999"/>
          <s v="28000-29999"/>
          <s v="30000-31999"/>
          <s v="32000-33999"/>
          <s v="34000-35999"/>
          <s v="36000-37999"/>
          <s v="38000-39999"/>
          <s v="40000-41999"/>
          <s v="42000-43999"/>
          <s v="44000-45999"/>
          <s v="46000-47999"/>
          <s v="48000-49999"/>
          <s v="50000-51999"/>
          <s v="52000-53999"/>
          <s v="54000-55999"/>
          <s v="56000-57999"/>
          <s v="58000-59999"/>
          <s v="60000-61999"/>
          <s v="62000-63999"/>
          <s v="64000-65999"/>
          <s v="66000-67999"/>
          <s v="68000-69999"/>
          <s v="70000-71999"/>
          <s v="72000-73999"/>
          <s v="74000-75999"/>
          <s v="76000-77999"/>
          <s v="78000-79999"/>
          <s v="80000-81999"/>
          <s v="&gt;82000"/>
        </groupItems>
      </fieldGroup>
    </cacheField>
    <cacheField name="Co-applicant Income" numFmtId="164">
      <sharedItems containsSemiMixedTypes="0" containsString="0" containsNumber="1" minValue="0" maxValue="41667"/>
    </cacheField>
    <cacheField name="Loan Amount" numFmtId="164">
      <sharedItems containsSemiMixedTypes="0" containsString="0" containsNumber="1" containsInteger="1" minValue="0" maxValue="700"/>
    </cacheField>
    <cacheField name="Loan_Amount_Term" numFmtId="0">
      <sharedItems containsSemiMixedTypes="0" containsString="0" containsNumber="1" containsInteger="1" minValue="12" maxValue="480" count="10">
        <n v="360"/>
        <n v="120"/>
        <n v="240"/>
        <n v="180"/>
        <n v="60"/>
        <n v="300"/>
        <n v="480"/>
        <n v="36"/>
        <n v="84"/>
        <n v="12"/>
      </sharedItems>
      <fieldGroup base="9">
        <rangePr autoStart="0" startNum="0" endNum="480" groupInterval="180"/>
        <groupItems count="5">
          <s v="&lt;0"/>
          <s v="0-179"/>
          <s v="180-359"/>
          <s v="360-539"/>
          <s v="&gt;540"/>
        </groupItems>
      </fieldGroup>
    </cacheField>
    <cacheField name="Credit_History" numFmtId="0">
      <sharedItems containsSemiMixedTypes="0" containsString="0" containsNumber="1" containsInteger="1" minValue="0" maxValue="1" count="2">
        <n v="1"/>
        <n v="0"/>
      </sharedItems>
    </cacheField>
    <cacheField name="Property_Area" numFmtId="0">
      <sharedItems count="3">
        <s v="Urban"/>
        <s v="Rural"/>
        <s v="Semiurban"/>
      </sharedItems>
    </cacheField>
    <cacheField name="Loan_Status" numFmtId="0">
      <sharedItems count="2">
        <s v="Y"/>
        <s v="N"/>
      </sharedItems>
    </cacheField>
    <cacheField name="Total Income" numFmtId="0">
      <sharedItems containsSemiMixedTypes="0" containsString="0" containsNumber="1" minValue="1442" maxValue="81000"/>
    </cacheField>
    <cacheField name="Income Band" numFmtId="0">
      <sharedItems count="3">
        <s v="Medium"/>
        <s v="Low"/>
        <s v="High"/>
      </sharedItems>
    </cacheField>
    <cacheField name="Loan to Income Ratio" numFmtId="2">
      <sharedItems containsSemiMixedTypes="0" containsString="0" containsNumber="1" minValue="0" maxValue="8.2711644502108342E-2"/>
    </cacheField>
    <cacheField name="Loan Amount Band" numFmtId="0">
      <sharedItems/>
    </cacheField>
    <cacheField name="Approval Flag" numFmtId="1">
      <sharedItems containsSemiMixedTypes="0" containsString="0" containsNumber="1" containsInteger="1" minValue="0" maxValue="1"/>
    </cacheField>
    <cacheField name="Area Code" numFmtId="0">
      <sharedItems/>
    </cacheField>
    <cacheField name="Approval Rate" numFmtId="0" formula="'Approval Flag'/Loan_ID" databaseField="0"/>
    <cacheField name="Approval Rat" numFmtId="0" formula=" 0" databaseField="0"/>
    <cacheField name="ApprovalRate" numFmtId="0" formula="'Approval Flag'/Loan_ID" databaseField="0"/>
  </cacheFields>
  <extLst>
    <ext xmlns:x14="http://schemas.microsoft.com/office/spreadsheetml/2009/9/main" uri="{725AE2AE-9491-48be-B2B4-4EB974FC3084}">
      <x14:pivotCacheDefinition pivotCacheId="145624878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spiron" refreshedDate="45952.470202662036" createdVersion="7" refreshedVersion="7" minRefreshableVersion="3" recordCount="18" xr:uid="{44E4C4B5-7935-4ABA-AE53-C05A827F506F}">
  <cacheSource type="worksheet">
    <worksheetSource name="Table2"/>
  </cacheSource>
  <cacheFields count="3">
    <cacheField name="ApplicantIncome" numFmtId="164">
      <sharedItems count="18">
        <s v="0-1999"/>
        <s v="2000-3999"/>
        <s v="4000-5999"/>
        <s v="6000-7999"/>
        <s v="8000-9999"/>
        <s v="10000-11999"/>
        <s v="12000-13999"/>
        <s v="14000-15999"/>
        <s v="16000-17999"/>
        <s v="18000-19999"/>
        <s v="20000-21999"/>
        <s v="22000-23999"/>
        <s v="32000-33999"/>
        <s v="36000-37999"/>
        <s v="38000-39999"/>
        <s v="50000-51999"/>
        <s v="62000-63999"/>
        <s v="80000-81999"/>
      </sharedItems>
    </cacheField>
    <cacheField name="Average of Loan Amount" numFmtId="166">
      <sharedItems containsSemiMixedTypes="0" containsString="0" containsNumber="1" minValue="105.27500000000001" maxValue="700"/>
    </cacheField>
    <cacheField name="Approval Rate" numFmtId="9">
      <sharedItems containsSemiMixedTypes="0" containsString="0" containsNumb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4">
  <r>
    <s v="LP001002"/>
    <x v="0"/>
    <x v="0"/>
    <x v="0"/>
    <x v="0"/>
    <x v="0"/>
    <x v="0"/>
    <n v="0"/>
    <n v="0"/>
    <x v="0"/>
    <x v="0"/>
    <x v="0"/>
    <x v="0"/>
    <n v="5849"/>
    <x v="0"/>
    <n v="0"/>
    <s v="Small"/>
    <n v="1"/>
    <s v="1"/>
  </r>
  <r>
    <s v="LP001003"/>
    <x v="0"/>
    <x v="1"/>
    <x v="1"/>
    <x v="0"/>
    <x v="0"/>
    <x v="1"/>
    <n v="1508"/>
    <n v="128"/>
    <x v="0"/>
    <x v="0"/>
    <x v="1"/>
    <x v="1"/>
    <n v="6091"/>
    <x v="0"/>
    <n v="2.1014611722213101E-2"/>
    <s v="Medium"/>
    <n v="0"/>
    <s v="2"/>
  </r>
  <r>
    <s v="LP001005"/>
    <x v="0"/>
    <x v="1"/>
    <x v="0"/>
    <x v="0"/>
    <x v="1"/>
    <x v="2"/>
    <n v="0"/>
    <n v="66"/>
    <x v="0"/>
    <x v="0"/>
    <x v="0"/>
    <x v="0"/>
    <n v="3000"/>
    <x v="1"/>
    <n v="2.1999999999999999E-2"/>
    <s v="Small"/>
    <n v="1"/>
    <s v="1"/>
  </r>
  <r>
    <s v="LP001006"/>
    <x v="0"/>
    <x v="1"/>
    <x v="0"/>
    <x v="1"/>
    <x v="0"/>
    <x v="3"/>
    <n v="2358"/>
    <n v="120"/>
    <x v="0"/>
    <x v="0"/>
    <x v="0"/>
    <x v="0"/>
    <n v="4941"/>
    <x v="0"/>
    <n v="2.4286581663630843E-2"/>
    <s v="Medium"/>
    <n v="1"/>
    <s v="1"/>
  </r>
  <r>
    <s v="LP001008"/>
    <x v="0"/>
    <x v="0"/>
    <x v="0"/>
    <x v="0"/>
    <x v="0"/>
    <x v="4"/>
    <n v="0"/>
    <n v="141"/>
    <x v="0"/>
    <x v="0"/>
    <x v="0"/>
    <x v="0"/>
    <n v="6000"/>
    <x v="0"/>
    <n v="2.35E-2"/>
    <s v="Medium"/>
    <n v="1"/>
    <s v="1"/>
  </r>
  <r>
    <s v="LP001011"/>
    <x v="0"/>
    <x v="1"/>
    <x v="2"/>
    <x v="0"/>
    <x v="1"/>
    <x v="5"/>
    <n v="4196"/>
    <n v="267"/>
    <x v="0"/>
    <x v="0"/>
    <x v="0"/>
    <x v="0"/>
    <n v="9613"/>
    <x v="2"/>
    <n v="2.7774888172266723E-2"/>
    <s v="Large"/>
    <n v="1"/>
    <s v="1"/>
  </r>
  <r>
    <s v="LP001013"/>
    <x v="0"/>
    <x v="1"/>
    <x v="0"/>
    <x v="1"/>
    <x v="0"/>
    <x v="6"/>
    <n v="1516"/>
    <n v="95"/>
    <x v="0"/>
    <x v="0"/>
    <x v="0"/>
    <x v="0"/>
    <n v="3849"/>
    <x v="1"/>
    <n v="2.4681735515718367E-2"/>
    <s v="Small"/>
    <n v="1"/>
    <s v="1"/>
  </r>
  <r>
    <s v="LP001014"/>
    <x v="0"/>
    <x v="1"/>
    <x v="3"/>
    <x v="0"/>
    <x v="0"/>
    <x v="7"/>
    <n v="2504"/>
    <n v="158"/>
    <x v="0"/>
    <x v="1"/>
    <x v="2"/>
    <x v="1"/>
    <n v="5540"/>
    <x v="0"/>
    <n v="2.8519855595667869E-2"/>
    <s v="Medium"/>
    <n v="0"/>
    <s v="3"/>
  </r>
  <r>
    <s v="LP001018"/>
    <x v="0"/>
    <x v="1"/>
    <x v="2"/>
    <x v="0"/>
    <x v="0"/>
    <x v="8"/>
    <n v="1526"/>
    <n v="168"/>
    <x v="0"/>
    <x v="0"/>
    <x v="0"/>
    <x v="0"/>
    <n v="5532"/>
    <x v="0"/>
    <n v="3.0368763557483729E-2"/>
    <s v="Medium"/>
    <n v="1"/>
    <s v="1"/>
  </r>
  <r>
    <s v="LP001020"/>
    <x v="0"/>
    <x v="1"/>
    <x v="1"/>
    <x v="0"/>
    <x v="0"/>
    <x v="9"/>
    <n v="10968"/>
    <n v="349"/>
    <x v="0"/>
    <x v="0"/>
    <x v="2"/>
    <x v="1"/>
    <n v="23809"/>
    <x v="2"/>
    <n v="1.4658322483094628E-2"/>
    <s v="Large"/>
    <n v="0"/>
    <s v="3"/>
  </r>
  <r>
    <s v="LP001024"/>
    <x v="0"/>
    <x v="1"/>
    <x v="2"/>
    <x v="0"/>
    <x v="0"/>
    <x v="10"/>
    <n v="700"/>
    <n v="70"/>
    <x v="0"/>
    <x v="0"/>
    <x v="0"/>
    <x v="0"/>
    <n v="3900"/>
    <x v="1"/>
    <n v="1.7948717948717947E-2"/>
    <s v="Small"/>
    <n v="1"/>
    <s v="1"/>
  </r>
  <r>
    <s v="LP001027"/>
    <x v="0"/>
    <x v="1"/>
    <x v="2"/>
    <x v="0"/>
    <x v="0"/>
    <x v="11"/>
    <n v="1840"/>
    <n v="109"/>
    <x v="0"/>
    <x v="0"/>
    <x v="0"/>
    <x v="0"/>
    <n v="4340"/>
    <x v="0"/>
    <n v="2.511520737327189E-2"/>
    <s v="Medium"/>
    <n v="1"/>
    <s v="1"/>
  </r>
  <r>
    <s v="LP001028"/>
    <x v="0"/>
    <x v="1"/>
    <x v="2"/>
    <x v="0"/>
    <x v="0"/>
    <x v="12"/>
    <n v="8106"/>
    <n v="200"/>
    <x v="0"/>
    <x v="0"/>
    <x v="0"/>
    <x v="0"/>
    <n v="11179"/>
    <x v="2"/>
    <n v="1.7890687896949638E-2"/>
    <s v="Large"/>
    <n v="1"/>
    <s v="1"/>
  </r>
  <r>
    <s v="LP001029"/>
    <x v="0"/>
    <x v="0"/>
    <x v="0"/>
    <x v="0"/>
    <x v="0"/>
    <x v="13"/>
    <n v="2840"/>
    <n v="114"/>
    <x v="0"/>
    <x v="0"/>
    <x v="1"/>
    <x v="1"/>
    <n v="4693"/>
    <x v="0"/>
    <n v="2.4291497975708502E-2"/>
    <s v="Medium"/>
    <n v="0"/>
    <s v="2"/>
  </r>
  <r>
    <s v="LP001030"/>
    <x v="0"/>
    <x v="1"/>
    <x v="2"/>
    <x v="0"/>
    <x v="0"/>
    <x v="14"/>
    <n v="1086"/>
    <n v="17"/>
    <x v="1"/>
    <x v="0"/>
    <x v="0"/>
    <x v="0"/>
    <n v="2385"/>
    <x v="1"/>
    <n v="7.1278825995807127E-3"/>
    <s v="Small"/>
    <n v="1"/>
    <s v="1"/>
  </r>
  <r>
    <s v="LP001032"/>
    <x v="0"/>
    <x v="0"/>
    <x v="0"/>
    <x v="0"/>
    <x v="0"/>
    <x v="15"/>
    <n v="0"/>
    <n v="125"/>
    <x v="0"/>
    <x v="0"/>
    <x v="0"/>
    <x v="0"/>
    <n v="4950"/>
    <x v="0"/>
    <n v="2.5252525252525252E-2"/>
    <s v="Medium"/>
    <n v="1"/>
    <s v="1"/>
  </r>
  <r>
    <s v="LP001034"/>
    <x v="0"/>
    <x v="0"/>
    <x v="1"/>
    <x v="1"/>
    <x v="0"/>
    <x v="16"/>
    <n v="0"/>
    <n v="100"/>
    <x v="2"/>
    <x v="1"/>
    <x v="0"/>
    <x v="0"/>
    <n v="3596"/>
    <x v="1"/>
    <n v="2.7808676307007785E-2"/>
    <s v="Medium"/>
    <n v="1"/>
    <s v="1"/>
  </r>
  <r>
    <s v="LP001036"/>
    <x v="1"/>
    <x v="0"/>
    <x v="0"/>
    <x v="0"/>
    <x v="0"/>
    <x v="17"/>
    <n v="0"/>
    <n v="76"/>
    <x v="0"/>
    <x v="1"/>
    <x v="0"/>
    <x v="1"/>
    <n v="3510"/>
    <x v="1"/>
    <n v="2.1652421652421653E-2"/>
    <s v="Small"/>
    <n v="0"/>
    <s v="1"/>
  </r>
  <r>
    <s v="LP001038"/>
    <x v="0"/>
    <x v="1"/>
    <x v="0"/>
    <x v="1"/>
    <x v="0"/>
    <x v="18"/>
    <n v="0"/>
    <n v="133"/>
    <x v="0"/>
    <x v="0"/>
    <x v="1"/>
    <x v="1"/>
    <n v="4887"/>
    <x v="0"/>
    <n v="2.7215060364231634E-2"/>
    <s v="Medium"/>
    <n v="0"/>
    <s v="2"/>
  </r>
  <r>
    <s v="LP001041"/>
    <x v="0"/>
    <x v="1"/>
    <x v="0"/>
    <x v="0"/>
    <x v="0"/>
    <x v="19"/>
    <n v="3500"/>
    <n v="115"/>
    <x v="0"/>
    <x v="0"/>
    <x v="0"/>
    <x v="0"/>
    <n v="6100"/>
    <x v="0"/>
    <n v="1.8852459016393444E-2"/>
    <s v="Medium"/>
    <n v="1"/>
    <s v="1"/>
  </r>
  <r>
    <s v="LP001043"/>
    <x v="0"/>
    <x v="1"/>
    <x v="0"/>
    <x v="1"/>
    <x v="0"/>
    <x v="20"/>
    <n v="0"/>
    <n v="104"/>
    <x v="0"/>
    <x v="1"/>
    <x v="0"/>
    <x v="1"/>
    <n v="7660"/>
    <x v="0"/>
    <n v="1.3577023498694517E-2"/>
    <s v="Medium"/>
    <n v="0"/>
    <s v="1"/>
  </r>
  <r>
    <s v="LP001046"/>
    <x v="0"/>
    <x v="1"/>
    <x v="1"/>
    <x v="0"/>
    <x v="0"/>
    <x v="21"/>
    <n v="5625"/>
    <n v="315"/>
    <x v="0"/>
    <x v="0"/>
    <x v="0"/>
    <x v="0"/>
    <n v="11580"/>
    <x v="2"/>
    <n v="2.7202072538860103E-2"/>
    <s v="Large"/>
    <n v="1"/>
    <s v="1"/>
  </r>
  <r>
    <s v="LP001047"/>
    <x v="0"/>
    <x v="1"/>
    <x v="0"/>
    <x v="1"/>
    <x v="0"/>
    <x v="19"/>
    <n v="1911"/>
    <n v="116"/>
    <x v="0"/>
    <x v="1"/>
    <x v="2"/>
    <x v="1"/>
    <n v="4511"/>
    <x v="0"/>
    <n v="2.5714919086677012E-2"/>
    <s v="Medium"/>
    <n v="0"/>
    <s v="3"/>
  </r>
  <r>
    <s v="LP001050"/>
    <x v="1"/>
    <x v="1"/>
    <x v="2"/>
    <x v="1"/>
    <x v="0"/>
    <x v="22"/>
    <n v="1917"/>
    <n v="112"/>
    <x v="0"/>
    <x v="1"/>
    <x v="1"/>
    <x v="1"/>
    <n v="5282"/>
    <x v="0"/>
    <n v="2.1204089360090876E-2"/>
    <s v="Medium"/>
    <n v="0"/>
    <s v="2"/>
  </r>
  <r>
    <s v="LP001052"/>
    <x v="0"/>
    <x v="1"/>
    <x v="1"/>
    <x v="0"/>
    <x v="0"/>
    <x v="23"/>
    <n v="2925"/>
    <n v="151"/>
    <x v="0"/>
    <x v="1"/>
    <x v="2"/>
    <x v="1"/>
    <n v="6642"/>
    <x v="0"/>
    <n v="2.2734116230051189E-2"/>
    <s v="Medium"/>
    <n v="0"/>
    <s v="3"/>
  </r>
  <r>
    <s v="LP001066"/>
    <x v="0"/>
    <x v="1"/>
    <x v="0"/>
    <x v="0"/>
    <x v="1"/>
    <x v="24"/>
    <n v="0"/>
    <n v="191"/>
    <x v="0"/>
    <x v="0"/>
    <x v="2"/>
    <x v="0"/>
    <n v="9560"/>
    <x v="2"/>
    <n v="1.9979079497907951E-2"/>
    <s v="Medium"/>
    <n v="1"/>
    <s v="3"/>
  </r>
  <r>
    <s v="LP001068"/>
    <x v="0"/>
    <x v="1"/>
    <x v="0"/>
    <x v="0"/>
    <x v="0"/>
    <x v="25"/>
    <n v="2253"/>
    <n v="122"/>
    <x v="0"/>
    <x v="0"/>
    <x v="2"/>
    <x v="0"/>
    <n v="5052"/>
    <x v="0"/>
    <n v="2.414885193982581E-2"/>
    <s v="Medium"/>
    <n v="1"/>
    <s v="3"/>
  </r>
  <r>
    <s v="LP001073"/>
    <x v="0"/>
    <x v="1"/>
    <x v="2"/>
    <x v="1"/>
    <x v="0"/>
    <x v="26"/>
    <n v="1040"/>
    <n v="110"/>
    <x v="0"/>
    <x v="0"/>
    <x v="0"/>
    <x v="0"/>
    <n v="5266"/>
    <x v="0"/>
    <n v="2.0888720091150777E-2"/>
    <s v="Medium"/>
    <n v="1"/>
    <s v="1"/>
  </r>
  <r>
    <s v="LP001086"/>
    <x v="0"/>
    <x v="0"/>
    <x v="0"/>
    <x v="1"/>
    <x v="0"/>
    <x v="27"/>
    <n v="0"/>
    <n v="35"/>
    <x v="0"/>
    <x v="0"/>
    <x v="0"/>
    <x v="1"/>
    <n v="1442"/>
    <x v="1"/>
    <n v="2.4271844660194174E-2"/>
    <s v="Small"/>
    <n v="0"/>
    <s v="1"/>
  </r>
  <r>
    <s v="LP001087"/>
    <x v="1"/>
    <x v="0"/>
    <x v="2"/>
    <x v="0"/>
    <x v="0"/>
    <x v="28"/>
    <n v="2083"/>
    <n v="120"/>
    <x v="0"/>
    <x v="0"/>
    <x v="2"/>
    <x v="0"/>
    <n v="5833"/>
    <x v="0"/>
    <n v="2.0572604148808505E-2"/>
    <s v="Medium"/>
    <n v="1"/>
    <s v="3"/>
  </r>
  <r>
    <s v="LP001091"/>
    <x v="0"/>
    <x v="1"/>
    <x v="1"/>
    <x v="0"/>
    <x v="0"/>
    <x v="29"/>
    <n v="3369"/>
    <n v="201"/>
    <x v="0"/>
    <x v="1"/>
    <x v="0"/>
    <x v="1"/>
    <n v="7535"/>
    <x v="0"/>
    <n v="2.6675514266755143E-2"/>
    <s v="Large"/>
    <n v="0"/>
    <s v="1"/>
  </r>
  <r>
    <s v="LP001095"/>
    <x v="0"/>
    <x v="0"/>
    <x v="0"/>
    <x v="0"/>
    <x v="0"/>
    <x v="30"/>
    <n v="0"/>
    <n v="74"/>
    <x v="0"/>
    <x v="0"/>
    <x v="0"/>
    <x v="1"/>
    <n v="3167"/>
    <x v="1"/>
    <n v="2.3365961477739186E-2"/>
    <s v="Small"/>
    <n v="0"/>
    <s v="1"/>
  </r>
  <r>
    <s v="LP001097"/>
    <x v="0"/>
    <x v="0"/>
    <x v="1"/>
    <x v="0"/>
    <x v="1"/>
    <x v="31"/>
    <n v="0"/>
    <n v="106"/>
    <x v="0"/>
    <x v="0"/>
    <x v="1"/>
    <x v="1"/>
    <n v="4692"/>
    <x v="0"/>
    <n v="2.2591645353793693E-2"/>
    <s v="Medium"/>
    <n v="0"/>
    <s v="2"/>
  </r>
  <r>
    <s v="LP001098"/>
    <x v="0"/>
    <x v="1"/>
    <x v="0"/>
    <x v="0"/>
    <x v="0"/>
    <x v="32"/>
    <n v="1667"/>
    <n v="114"/>
    <x v="0"/>
    <x v="0"/>
    <x v="2"/>
    <x v="0"/>
    <n v="5167"/>
    <x v="0"/>
    <n v="2.2063092703696534E-2"/>
    <s v="Medium"/>
    <n v="1"/>
    <s v="3"/>
  </r>
  <r>
    <s v="LP001100"/>
    <x v="0"/>
    <x v="0"/>
    <x v="3"/>
    <x v="0"/>
    <x v="0"/>
    <x v="33"/>
    <n v="3000"/>
    <n v="320"/>
    <x v="0"/>
    <x v="0"/>
    <x v="1"/>
    <x v="1"/>
    <n v="15500"/>
    <x v="2"/>
    <n v="2.0645161290322581E-2"/>
    <s v="Large"/>
    <n v="0"/>
    <s v="2"/>
  </r>
  <r>
    <s v="LP001106"/>
    <x v="0"/>
    <x v="1"/>
    <x v="0"/>
    <x v="0"/>
    <x v="0"/>
    <x v="34"/>
    <n v="2067"/>
    <n v="0"/>
    <x v="0"/>
    <x v="0"/>
    <x v="0"/>
    <x v="0"/>
    <n v="4342"/>
    <x v="0"/>
    <n v="0"/>
    <s v="Small"/>
    <n v="1"/>
    <s v="1"/>
  </r>
  <r>
    <s v="LP001109"/>
    <x v="0"/>
    <x v="1"/>
    <x v="0"/>
    <x v="0"/>
    <x v="0"/>
    <x v="35"/>
    <n v="1330"/>
    <n v="100"/>
    <x v="0"/>
    <x v="1"/>
    <x v="0"/>
    <x v="1"/>
    <n v="3158"/>
    <x v="1"/>
    <n v="3.1665611146295125E-2"/>
    <s v="Medium"/>
    <n v="0"/>
    <s v="1"/>
  </r>
  <r>
    <s v="LP001112"/>
    <x v="1"/>
    <x v="1"/>
    <x v="0"/>
    <x v="0"/>
    <x v="0"/>
    <x v="36"/>
    <n v="1459"/>
    <n v="144"/>
    <x v="0"/>
    <x v="0"/>
    <x v="2"/>
    <x v="0"/>
    <n v="5126"/>
    <x v="0"/>
    <n v="2.8092079594225518E-2"/>
    <s v="Medium"/>
    <n v="1"/>
    <s v="3"/>
  </r>
  <r>
    <s v="LP001114"/>
    <x v="0"/>
    <x v="0"/>
    <x v="0"/>
    <x v="0"/>
    <x v="0"/>
    <x v="29"/>
    <n v="7210"/>
    <n v="184"/>
    <x v="0"/>
    <x v="0"/>
    <x v="0"/>
    <x v="0"/>
    <n v="11376"/>
    <x v="2"/>
    <n v="1.6174402250351619E-2"/>
    <s v="Medium"/>
    <n v="1"/>
    <s v="1"/>
  </r>
  <r>
    <s v="LP001116"/>
    <x v="0"/>
    <x v="0"/>
    <x v="0"/>
    <x v="1"/>
    <x v="0"/>
    <x v="37"/>
    <n v="1668"/>
    <n v="110"/>
    <x v="0"/>
    <x v="0"/>
    <x v="2"/>
    <x v="0"/>
    <n v="5416"/>
    <x v="0"/>
    <n v="2.031019202363368E-2"/>
    <s v="Medium"/>
    <n v="1"/>
    <s v="3"/>
  </r>
  <r>
    <s v="LP001119"/>
    <x v="0"/>
    <x v="0"/>
    <x v="0"/>
    <x v="0"/>
    <x v="0"/>
    <x v="38"/>
    <n v="0"/>
    <n v="80"/>
    <x v="0"/>
    <x v="0"/>
    <x v="0"/>
    <x v="1"/>
    <n v="3600"/>
    <x v="1"/>
    <n v="2.2222222222222223E-2"/>
    <s v="Small"/>
    <n v="0"/>
    <s v="1"/>
  </r>
  <r>
    <s v="LP001120"/>
    <x v="0"/>
    <x v="0"/>
    <x v="0"/>
    <x v="0"/>
    <x v="0"/>
    <x v="39"/>
    <n v="1213"/>
    <n v="47"/>
    <x v="0"/>
    <x v="0"/>
    <x v="0"/>
    <x v="0"/>
    <n v="3013"/>
    <x v="1"/>
    <n v="1.5599070693660804E-2"/>
    <s v="Small"/>
    <n v="1"/>
    <s v="1"/>
  </r>
  <r>
    <s v="LP001123"/>
    <x v="0"/>
    <x v="1"/>
    <x v="0"/>
    <x v="0"/>
    <x v="0"/>
    <x v="40"/>
    <n v="0"/>
    <n v="75"/>
    <x v="0"/>
    <x v="0"/>
    <x v="0"/>
    <x v="0"/>
    <n v="2400"/>
    <x v="1"/>
    <n v="3.125E-2"/>
    <s v="Small"/>
    <n v="1"/>
    <s v="1"/>
  </r>
  <r>
    <s v="LP001131"/>
    <x v="0"/>
    <x v="1"/>
    <x v="0"/>
    <x v="0"/>
    <x v="0"/>
    <x v="41"/>
    <n v="2336"/>
    <n v="134"/>
    <x v="0"/>
    <x v="0"/>
    <x v="2"/>
    <x v="0"/>
    <n v="6277"/>
    <x v="0"/>
    <n v="2.1347777600764697E-2"/>
    <s v="Medium"/>
    <n v="1"/>
    <s v="3"/>
  </r>
  <r>
    <s v="LP001136"/>
    <x v="0"/>
    <x v="1"/>
    <x v="0"/>
    <x v="1"/>
    <x v="1"/>
    <x v="42"/>
    <n v="0"/>
    <n v="96"/>
    <x v="0"/>
    <x v="0"/>
    <x v="0"/>
    <x v="0"/>
    <n v="4695"/>
    <x v="0"/>
    <n v="2.0447284345047924E-2"/>
    <s v="Small"/>
    <n v="1"/>
    <s v="1"/>
  </r>
  <r>
    <s v="LP001137"/>
    <x v="1"/>
    <x v="0"/>
    <x v="0"/>
    <x v="0"/>
    <x v="0"/>
    <x v="43"/>
    <n v="0"/>
    <n v="88"/>
    <x v="0"/>
    <x v="0"/>
    <x v="0"/>
    <x v="0"/>
    <n v="3410"/>
    <x v="1"/>
    <n v="2.5806451612903226E-2"/>
    <s v="Small"/>
    <n v="1"/>
    <s v="1"/>
  </r>
  <r>
    <s v="LP001138"/>
    <x v="0"/>
    <x v="1"/>
    <x v="1"/>
    <x v="0"/>
    <x v="0"/>
    <x v="44"/>
    <n v="0"/>
    <n v="44"/>
    <x v="0"/>
    <x v="0"/>
    <x v="0"/>
    <x v="0"/>
    <n v="5649"/>
    <x v="0"/>
    <n v="7.7889892016286067E-3"/>
    <s v="Small"/>
    <n v="1"/>
    <s v="1"/>
  </r>
  <r>
    <s v="LP001144"/>
    <x v="0"/>
    <x v="1"/>
    <x v="0"/>
    <x v="0"/>
    <x v="0"/>
    <x v="45"/>
    <n v="0"/>
    <n v="144"/>
    <x v="0"/>
    <x v="0"/>
    <x v="0"/>
    <x v="0"/>
    <n v="5821"/>
    <x v="0"/>
    <n v="2.4738017522762411E-2"/>
    <s v="Medium"/>
    <n v="1"/>
    <s v="1"/>
  </r>
  <r>
    <s v="LP001146"/>
    <x v="1"/>
    <x v="1"/>
    <x v="0"/>
    <x v="0"/>
    <x v="0"/>
    <x v="46"/>
    <n v="3440"/>
    <n v="120"/>
    <x v="0"/>
    <x v="1"/>
    <x v="0"/>
    <x v="1"/>
    <n v="6085"/>
    <x v="0"/>
    <n v="1.972062448644207E-2"/>
    <s v="Medium"/>
    <n v="0"/>
    <s v="1"/>
  </r>
  <r>
    <s v="LP001151"/>
    <x v="1"/>
    <x v="0"/>
    <x v="0"/>
    <x v="0"/>
    <x v="0"/>
    <x v="47"/>
    <n v="2275"/>
    <n v="144"/>
    <x v="0"/>
    <x v="0"/>
    <x v="2"/>
    <x v="0"/>
    <n v="6275"/>
    <x v="0"/>
    <n v="2.2948207171314742E-2"/>
    <s v="Medium"/>
    <n v="1"/>
    <s v="3"/>
  </r>
  <r>
    <s v="LP001155"/>
    <x v="1"/>
    <x v="1"/>
    <x v="0"/>
    <x v="1"/>
    <x v="0"/>
    <x v="48"/>
    <n v="1644"/>
    <n v="100"/>
    <x v="0"/>
    <x v="0"/>
    <x v="2"/>
    <x v="0"/>
    <n v="3572"/>
    <x v="1"/>
    <n v="2.7995520716685332E-2"/>
    <s v="Medium"/>
    <n v="1"/>
    <s v="3"/>
  </r>
  <r>
    <s v="LP001157"/>
    <x v="1"/>
    <x v="0"/>
    <x v="0"/>
    <x v="0"/>
    <x v="0"/>
    <x v="49"/>
    <n v="0"/>
    <n v="120"/>
    <x v="0"/>
    <x v="0"/>
    <x v="2"/>
    <x v="0"/>
    <n v="3086"/>
    <x v="1"/>
    <n v="3.8885288399222291E-2"/>
    <s v="Medium"/>
    <n v="1"/>
    <s v="3"/>
  </r>
  <r>
    <s v="LP001164"/>
    <x v="1"/>
    <x v="0"/>
    <x v="0"/>
    <x v="0"/>
    <x v="0"/>
    <x v="50"/>
    <n v="0"/>
    <n v="112"/>
    <x v="0"/>
    <x v="0"/>
    <x v="2"/>
    <x v="1"/>
    <n v="4230"/>
    <x v="0"/>
    <n v="2.6477541371158392E-2"/>
    <s v="Medium"/>
    <n v="0"/>
    <s v="3"/>
  </r>
  <r>
    <s v="LP001179"/>
    <x v="0"/>
    <x v="1"/>
    <x v="2"/>
    <x v="0"/>
    <x v="0"/>
    <x v="51"/>
    <n v="0"/>
    <n v="134"/>
    <x v="0"/>
    <x v="0"/>
    <x v="0"/>
    <x v="1"/>
    <n v="4616"/>
    <x v="0"/>
    <n v="2.9029462738301561E-2"/>
    <s v="Medium"/>
    <n v="0"/>
    <s v="1"/>
  </r>
  <r>
    <s v="LP001186"/>
    <x v="1"/>
    <x v="1"/>
    <x v="1"/>
    <x v="0"/>
    <x v="1"/>
    <x v="52"/>
    <n v="0"/>
    <n v="286"/>
    <x v="0"/>
    <x v="1"/>
    <x v="0"/>
    <x v="1"/>
    <n v="11500"/>
    <x v="2"/>
    <n v="2.4869565217391306E-2"/>
    <s v="Large"/>
    <n v="0"/>
    <s v="1"/>
  </r>
  <r>
    <s v="LP001194"/>
    <x v="0"/>
    <x v="1"/>
    <x v="2"/>
    <x v="0"/>
    <x v="0"/>
    <x v="53"/>
    <n v="1167"/>
    <n v="97"/>
    <x v="0"/>
    <x v="0"/>
    <x v="2"/>
    <x v="0"/>
    <n v="3875"/>
    <x v="1"/>
    <n v="2.503225806451613E-2"/>
    <s v="Small"/>
    <n v="1"/>
    <s v="3"/>
  </r>
  <r>
    <s v="LP001195"/>
    <x v="0"/>
    <x v="1"/>
    <x v="0"/>
    <x v="0"/>
    <x v="0"/>
    <x v="54"/>
    <n v="1591"/>
    <n v="96"/>
    <x v="0"/>
    <x v="0"/>
    <x v="2"/>
    <x v="0"/>
    <n v="3723"/>
    <x v="1"/>
    <n v="2.5785656728444802E-2"/>
    <s v="Small"/>
    <n v="1"/>
    <s v="3"/>
  </r>
  <r>
    <s v="LP001197"/>
    <x v="0"/>
    <x v="1"/>
    <x v="0"/>
    <x v="0"/>
    <x v="0"/>
    <x v="55"/>
    <n v="2200"/>
    <n v="135"/>
    <x v="0"/>
    <x v="0"/>
    <x v="1"/>
    <x v="1"/>
    <n v="5566"/>
    <x v="0"/>
    <n v="2.4254401724757457E-2"/>
    <s v="Medium"/>
    <n v="0"/>
    <s v="2"/>
  </r>
  <r>
    <s v="LP001198"/>
    <x v="0"/>
    <x v="1"/>
    <x v="1"/>
    <x v="0"/>
    <x v="0"/>
    <x v="56"/>
    <n v="2250"/>
    <n v="180"/>
    <x v="0"/>
    <x v="0"/>
    <x v="0"/>
    <x v="0"/>
    <n v="10330"/>
    <x v="2"/>
    <n v="1.7424975798644726E-2"/>
    <s v="Medium"/>
    <n v="1"/>
    <s v="1"/>
  </r>
  <r>
    <s v="LP001199"/>
    <x v="0"/>
    <x v="1"/>
    <x v="2"/>
    <x v="1"/>
    <x v="0"/>
    <x v="57"/>
    <n v="2859"/>
    <n v="144"/>
    <x v="0"/>
    <x v="0"/>
    <x v="0"/>
    <x v="0"/>
    <n v="6216"/>
    <x v="0"/>
    <n v="2.3166023166023165E-2"/>
    <s v="Medium"/>
    <n v="1"/>
    <s v="1"/>
  </r>
  <r>
    <s v="LP001205"/>
    <x v="0"/>
    <x v="1"/>
    <x v="0"/>
    <x v="0"/>
    <x v="0"/>
    <x v="11"/>
    <n v="3796"/>
    <n v="120"/>
    <x v="0"/>
    <x v="0"/>
    <x v="0"/>
    <x v="0"/>
    <n v="6296"/>
    <x v="0"/>
    <n v="1.9059720457433291E-2"/>
    <s v="Medium"/>
    <n v="1"/>
    <s v="1"/>
  </r>
  <r>
    <s v="LP001206"/>
    <x v="0"/>
    <x v="1"/>
    <x v="3"/>
    <x v="0"/>
    <x v="0"/>
    <x v="58"/>
    <n v="0"/>
    <n v="99"/>
    <x v="0"/>
    <x v="0"/>
    <x v="0"/>
    <x v="0"/>
    <n v="3029"/>
    <x v="1"/>
    <n v="3.2684054143281613E-2"/>
    <s v="Small"/>
    <n v="1"/>
    <s v="1"/>
  </r>
  <r>
    <s v="LP001207"/>
    <x v="0"/>
    <x v="1"/>
    <x v="0"/>
    <x v="1"/>
    <x v="1"/>
    <x v="59"/>
    <n v="3449"/>
    <n v="165"/>
    <x v="3"/>
    <x v="1"/>
    <x v="1"/>
    <x v="1"/>
    <n v="6058"/>
    <x v="0"/>
    <n v="2.723671178606801E-2"/>
    <s v="Medium"/>
    <n v="0"/>
    <s v="2"/>
  </r>
  <r>
    <s v="LP001213"/>
    <x v="0"/>
    <x v="1"/>
    <x v="1"/>
    <x v="0"/>
    <x v="0"/>
    <x v="60"/>
    <n v="0"/>
    <n v="0"/>
    <x v="0"/>
    <x v="1"/>
    <x v="1"/>
    <x v="1"/>
    <n v="4945"/>
    <x v="0"/>
    <n v="0"/>
    <s v="Small"/>
    <n v="0"/>
    <s v="2"/>
  </r>
  <r>
    <s v="LP001222"/>
    <x v="1"/>
    <x v="0"/>
    <x v="0"/>
    <x v="0"/>
    <x v="0"/>
    <x v="29"/>
    <n v="0"/>
    <n v="116"/>
    <x v="0"/>
    <x v="1"/>
    <x v="2"/>
    <x v="1"/>
    <n v="4166"/>
    <x v="0"/>
    <n v="2.7844455112818051E-2"/>
    <s v="Medium"/>
    <n v="0"/>
    <s v="3"/>
  </r>
  <r>
    <s v="LP001225"/>
    <x v="0"/>
    <x v="1"/>
    <x v="0"/>
    <x v="0"/>
    <x v="0"/>
    <x v="61"/>
    <n v="4595"/>
    <n v="258"/>
    <x v="0"/>
    <x v="0"/>
    <x v="2"/>
    <x v="1"/>
    <n v="10321"/>
    <x v="2"/>
    <n v="2.4997577754093597E-2"/>
    <s v="Large"/>
    <n v="0"/>
    <s v="3"/>
  </r>
  <r>
    <s v="LP001228"/>
    <x v="0"/>
    <x v="0"/>
    <x v="0"/>
    <x v="1"/>
    <x v="0"/>
    <x v="10"/>
    <n v="2254"/>
    <n v="126"/>
    <x v="3"/>
    <x v="1"/>
    <x v="0"/>
    <x v="1"/>
    <n v="5454"/>
    <x v="0"/>
    <n v="2.3102310231023101E-2"/>
    <s v="Medium"/>
    <n v="0"/>
    <s v="1"/>
  </r>
  <r>
    <s v="LP001233"/>
    <x v="0"/>
    <x v="1"/>
    <x v="1"/>
    <x v="0"/>
    <x v="0"/>
    <x v="62"/>
    <n v="0"/>
    <n v="312"/>
    <x v="0"/>
    <x v="0"/>
    <x v="0"/>
    <x v="0"/>
    <n v="10750"/>
    <x v="2"/>
    <n v="2.9023255813953489E-2"/>
    <s v="Large"/>
    <n v="1"/>
    <s v="1"/>
  </r>
  <r>
    <s v="LP001238"/>
    <x v="0"/>
    <x v="1"/>
    <x v="3"/>
    <x v="1"/>
    <x v="1"/>
    <x v="63"/>
    <n v="0"/>
    <n v="125"/>
    <x v="4"/>
    <x v="0"/>
    <x v="0"/>
    <x v="0"/>
    <n v="7100"/>
    <x v="0"/>
    <n v="1.7605633802816902E-2"/>
    <s v="Medium"/>
    <n v="1"/>
    <s v="1"/>
  </r>
  <r>
    <s v="LP001241"/>
    <x v="1"/>
    <x v="0"/>
    <x v="0"/>
    <x v="0"/>
    <x v="0"/>
    <x v="64"/>
    <n v="0"/>
    <n v="136"/>
    <x v="0"/>
    <x v="1"/>
    <x v="2"/>
    <x v="1"/>
    <n v="4300"/>
    <x v="0"/>
    <n v="3.1627906976744183E-2"/>
    <s v="Medium"/>
    <n v="0"/>
    <s v="3"/>
  </r>
  <r>
    <s v="LP001243"/>
    <x v="0"/>
    <x v="1"/>
    <x v="0"/>
    <x v="0"/>
    <x v="0"/>
    <x v="65"/>
    <n v="3066"/>
    <n v="172"/>
    <x v="0"/>
    <x v="0"/>
    <x v="0"/>
    <x v="0"/>
    <n v="6274"/>
    <x v="0"/>
    <n v="2.7414727446605038E-2"/>
    <s v="Medium"/>
    <n v="1"/>
    <s v="1"/>
  </r>
  <r>
    <s v="LP001245"/>
    <x v="0"/>
    <x v="1"/>
    <x v="2"/>
    <x v="1"/>
    <x v="1"/>
    <x v="66"/>
    <n v="1875"/>
    <n v="97"/>
    <x v="0"/>
    <x v="0"/>
    <x v="2"/>
    <x v="0"/>
    <n v="3750"/>
    <x v="1"/>
    <n v="2.5866666666666666E-2"/>
    <s v="Small"/>
    <n v="1"/>
    <s v="3"/>
  </r>
  <r>
    <s v="LP001248"/>
    <x v="0"/>
    <x v="0"/>
    <x v="0"/>
    <x v="0"/>
    <x v="0"/>
    <x v="32"/>
    <n v="0"/>
    <n v="81"/>
    <x v="5"/>
    <x v="0"/>
    <x v="2"/>
    <x v="0"/>
    <n v="3500"/>
    <x v="1"/>
    <n v="2.3142857142857142E-2"/>
    <s v="Small"/>
    <n v="1"/>
    <s v="3"/>
  </r>
  <r>
    <s v="LP001250"/>
    <x v="0"/>
    <x v="1"/>
    <x v="3"/>
    <x v="1"/>
    <x v="0"/>
    <x v="67"/>
    <n v="0"/>
    <n v="95"/>
    <x v="0"/>
    <x v="1"/>
    <x v="2"/>
    <x v="1"/>
    <n v="4755"/>
    <x v="0"/>
    <n v="1.9978969505783387E-2"/>
    <s v="Small"/>
    <n v="0"/>
    <s v="3"/>
  </r>
  <r>
    <s v="LP001253"/>
    <x v="0"/>
    <x v="1"/>
    <x v="3"/>
    <x v="0"/>
    <x v="1"/>
    <x v="68"/>
    <n v="1774"/>
    <n v="187"/>
    <x v="0"/>
    <x v="0"/>
    <x v="2"/>
    <x v="0"/>
    <n v="7040"/>
    <x v="0"/>
    <n v="2.6562499999999999E-2"/>
    <s v="Medium"/>
    <n v="1"/>
    <s v="3"/>
  </r>
  <r>
    <s v="LP001255"/>
    <x v="0"/>
    <x v="0"/>
    <x v="0"/>
    <x v="0"/>
    <x v="0"/>
    <x v="28"/>
    <n v="0"/>
    <n v="113"/>
    <x v="6"/>
    <x v="0"/>
    <x v="0"/>
    <x v="1"/>
    <n v="3750"/>
    <x v="1"/>
    <n v="3.0133333333333335E-2"/>
    <s v="Medium"/>
    <n v="0"/>
    <s v="1"/>
  </r>
  <r>
    <s v="LP001256"/>
    <x v="0"/>
    <x v="0"/>
    <x v="0"/>
    <x v="0"/>
    <x v="0"/>
    <x v="28"/>
    <n v="4750"/>
    <n v="176"/>
    <x v="0"/>
    <x v="0"/>
    <x v="0"/>
    <x v="1"/>
    <n v="8500"/>
    <x v="2"/>
    <n v="2.0705882352941178E-2"/>
    <s v="Medium"/>
    <n v="0"/>
    <s v="1"/>
  </r>
  <r>
    <s v="LP001259"/>
    <x v="0"/>
    <x v="1"/>
    <x v="1"/>
    <x v="0"/>
    <x v="1"/>
    <x v="69"/>
    <n v="3022"/>
    <n v="110"/>
    <x v="0"/>
    <x v="0"/>
    <x v="0"/>
    <x v="1"/>
    <n v="4022"/>
    <x v="0"/>
    <n v="2.7349577324714072E-2"/>
    <s v="Medium"/>
    <n v="0"/>
    <s v="1"/>
  </r>
  <r>
    <s v="LP001263"/>
    <x v="0"/>
    <x v="1"/>
    <x v="3"/>
    <x v="0"/>
    <x v="0"/>
    <x v="30"/>
    <n v="4000"/>
    <n v="180"/>
    <x v="5"/>
    <x v="1"/>
    <x v="2"/>
    <x v="1"/>
    <n v="7167"/>
    <x v="0"/>
    <n v="2.5115110925073254E-2"/>
    <s v="Medium"/>
    <n v="0"/>
    <s v="3"/>
  </r>
  <r>
    <s v="LP001264"/>
    <x v="0"/>
    <x v="1"/>
    <x v="3"/>
    <x v="1"/>
    <x v="1"/>
    <x v="70"/>
    <n v="2166"/>
    <n v="130"/>
    <x v="0"/>
    <x v="0"/>
    <x v="2"/>
    <x v="0"/>
    <n v="5499"/>
    <x v="0"/>
    <n v="2.3640661938534278E-2"/>
    <s v="Medium"/>
    <n v="1"/>
    <s v="3"/>
  </r>
  <r>
    <s v="LP001265"/>
    <x v="1"/>
    <x v="0"/>
    <x v="0"/>
    <x v="0"/>
    <x v="0"/>
    <x v="71"/>
    <n v="0"/>
    <n v="111"/>
    <x v="0"/>
    <x v="0"/>
    <x v="2"/>
    <x v="0"/>
    <n v="3846"/>
    <x v="1"/>
    <n v="2.8861154446177848E-2"/>
    <s v="Medium"/>
    <n v="1"/>
    <s v="3"/>
  </r>
  <r>
    <s v="LP001266"/>
    <x v="0"/>
    <x v="1"/>
    <x v="1"/>
    <x v="0"/>
    <x v="1"/>
    <x v="72"/>
    <n v="0"/>
    <n v="0"/>
    <x v="0"/>
    <x v="0"/>
    <x v="2"/>
    <x v="0"/>
    <n v="2395"/>
    <x v="1"/>
    <n v="0"/>
    <s v="Small"/>
    <n v="1"/>
    <s v="3"/>
  </r>
  <r>
    <s v="LP001267"/>
    <x v="1"/>
    <x v="1"/>
    <x v="2"/>
    <x v="0"/>
    <x v="0"/>
    <x v="73"/>
    <n v="1881"/>
    <n v="167"/>
    <x v="0"/>
    <x v="0"/>
    <x v="0"/>
    <x v="1"/>
    <n v="3259"/>
    <x v="1"/>
    <n v="5.1242712488493401E-2"/>
    <s v="Medium"/>
    <n v="0"/>
    <s v="1"/>
  </r>
  <r>
    <s v="LP001273"/>
    <x v="0"/>
    <x v="1"/>
    <x v="0"/>
    <x v="0"/>
    <x v="0"/>
    <x v="4"/>
    <n v="2250"/>
    <n v="265"/>
    <x v="0"/>
    <x v="0"/>
    <x v="2"/>
    <x v="1"/>
    <n v="8250"/>
    <x v="2"/>
    <n v="3.212121212121212E-2"/>
    <s v="Large"/>
    <n v="0"/>
    <s v="3"/>
  </r>
  <r>
    <s v="LP001275"/>
    <x v="0"/>
    <x v="1"/>
    <x v="1"/>
    <x v="0"/>
    <x v="0"/>
    <x v="74"/>
    <n v="0"/>
    <n v="50"/>
    <x v="2"/>
    <x v="0"/>
    <x v="0"/>
    <x v="0"/>
    <n v="3988"/>
    <x v="1"/>
    <n v="1.2537612838515547E-2"/>
    <s v="Small"/>
    <n v="1"/>
    <s v="1"/>
  </r>
  <r>
    <s v="LP001279"/>
    <x v="0"/>
    <x v="0"/>
    <x v="0"/>
    <x v="0"/>
    <x v="0"/>
    <x v="75"/>
    <n v="2531"/>
    <n v="136"/>
    <x v="0"/>
    <x v="0"/>
    <x v="2"/>
    <x v="0"/>
    <n v="4897"/>
    <x v="0"/>
    <n v="2.7772105370635083E-2"/>
    <s v="Medium"/>
    <n v="1"/>
    <s v="3"/>
  </r>
  <r>
    <s v="LP001280"/>
    <x v="0"/>
    <x v="1"/>
    <x v="2"/>
    <x v="1"/>
    <x v="0"/>
    <x v="70"/>
    <n v="2000"/>
    <n v="99"/>
    <x v="0"/>
    <x v="1"/>
    <x v="2"/>
    <x v="0"/>
    <n v="5333"/>
    <x v="0"/>
    <n v="1.8563660228764298E-2"/>
    <s v="Small"/>
    <n v="1"/>
    <s v="3"/>
  </r>
  <r>
    <s v="LP001282"/>
    <x v="0"/>
    <x v="1"/>
    <x v="0"/>
    <x v="0"/>
    <x v="0"/>
    <x v="11"/>
    <n v="2118"/>
    <n v="104"/>
    <x v="0"/>
    <x v="0"/>
    <x v="2"/>
    <x v="0"/>
    <n v="4618"/>
    <x v="0"/>
    <n v="2.252057167605024E-2"/>
    <s v="Medium"/>
    <n v="1"/>
    <s v="3"/>
  </r>
  <r>
    <s v="LP001289"/>
    <x v="0"/>
    <x v="0"/>
    <x v="0"/>
    <x v="0"/>
    <x v="0"/>
    <x v="76"/>
    <n v="0"/>
    <n v="210"/>
    <x v="0"/>
    <x v="0"/>
    <x v="0"/>
    <x v="0"/>
    <n v="8566"/>
    <x v="2"/>
    <n v="2.4515526500116739E-2"/>
    <s v="Large"/>
    <n v="1"/>
    <s v="1"/>
  </r>
  <r>
    <s v="LP001310"/>
    <x v="0"/>
    <x v="1"/>
    <x v="0"/>
    <x v="0"/>
    <x v="0"/>
    <x v="77"/>
    <n v="4167"/>
    <n v="175"/>
    <x v="0"/>
    <x v="0"/>
    <x v="2"/>
    <x v="0"/>
    <n v="9862"/>
    <x v="2"/>
    <n v="1.7744879334820524E-2"/>
    <s v="Medium"/>
    <n v="1"/>
    <s v="3"/>
  </r>
  <r>
    <s v="LP001316"/>
    <x v="0"/>
    <x v="1"/>
    <x v="0"/>
    <x v="0"/>
    <x v="0"/>
    <x v="78"/>
    <n v="2900"/>
    <n v="131"/>
    <x v="0"/>
    <x v="0"/>
    <x v="2"/>
    <x v="0"/>
    <n v="5858"/>
    <x v="0"/>
    <n v="2.2362581085694777E-2"/>
    <s v="Medium"/>
    <n v="1"/>
    <s v="3"/>
  </r>
  <r>
    <s v="LP001318"/>
    <x v="0"/>
    <x v="1"/>
    <x v="2"/>
    <x v="0"/>
    <x v="0"/>
    <x v="79"/>
    <n v="5654"/>
    <n v="188"/>
    <x v="3"/>
    <x v="0"/>
    <x v="2"/>
    <x v="0"/>
    <n v="11904"/>
    <x v="2"/>
    <n v="1.5793010752688172E-2"/>
    <s v="Medium"/>
    <n v="1"/>
    <s v="3"/>
  </r>
  <r>
    <s v="LP001319"/>
    <x v="0"/>
    <x v="1"/>
    <x v="2"/>
    <x v="1"/>
    <x v="0"/>
    <x v="80"/>
    <n v="1820"/>
    <n v="81"/>
    <x v="0"/>
    <x v="0"/>
    <x v="0"/>
    <x v="0"/>
    <n v="5093"/>
    <x v="0"/>
    <n v="1.5904182210877676E-2"/>
    <s v="Small"/>
    <n v="1"/>
    <s v="1"/>
  </r>
  <r>
    <s v="LP001322"/>
    <x v="0"/>
    <x v="0"/>
    <x v="0"/>
    <x v="0"/>
    <x v="0"/>
    <x v="81"/>
    <n v="0"/>
    <n v="122"/>
    <x v="0"/>
    <x v="0"/>
    <x v="2"/>
    <x v="0"/>
    <n v="4133"/>
    <x v="0"/>
    <n v="2.9518509557222357E-2"/>
    <s v="Medium"/>
    <n v="1"/>
    <s v="3"/>
  </r>
  <r>
    <s v="LP001325"/>
    <x v="0"/>
    <x v="0"/>
    <x v="0"/>
    <x v="1"/>
    <x v="0"/>
    <x v="82"/>
    <n v="0"/>
    <n v="25"/>
    <x v="1"/>
    <x v="0"/>
    <x v="2"/>
    <x v="0"/>
    <n v="3620"/>
    <x v="1"/>
    <n v="6.9060773480662981E-3"/>
    <s v="Small"/>
    <n v="1"/>
    <s v="3"/>
  </r>
  <r>
    <s v="LP001326"/>
    <x v="0"/>
    <x v="0"/>
    <x v="0"/>
    <x v="0"/>
    <x v="0"/>
    <x v="83"/>
    <n v="0"/>
    <n v="0"/>
    <x v="0"/>
    <x v="0"/>
    <x v="0"/>
    <x v="1"/>
    <n v="6782"/>
    <x v="0"/>
    <n v="0"/>
    <s v="Small"/>
    <n v="0"/>
    <s v="1"/>
  </r>
  <r>
    <s v="LP001327"/>
    <x v="1"/>
    <x v="1"/>
    <x v="0"/>
    <x v="0"/>
    <x v="0"/>
    <x v="84"/>
    <n v="2302"/>
    <n v="137"/>
    <x v="0"/>
    <x v="0"/>
    <x v="2"/>
    <x v="0"/>
    <n v="4786"/>
    <x v="0"/>
    <n v="2.8625156707062265E-2"/>
    <s v="Medium"/>
    <n v="1"/>
    <s v="3"/>
  </r>
  <r>
    <s v="LP001333"/>
    <x v="0"/>
    <x v="1"/>
    <x v="0"/>
    <x v="0"/>
    <x v="0"/>
    <x v="85"/>
    <n v="997"/>
    <n v="50"/>
    <x v="0"/>
    <x v="0"/>
    <x v="2"/>
    <x v="0"/>
    <n v="2974"/>
    <x v="1"/>
    <n v="1.6812373907195696E-2"/>
    <s v="Small"/>
    <n v="1"/>
    <s v="3"/>
  </r>
  <r>
    <s v="LP001334"/>
    <x v="0"/>
    <x v="1"/>
    <x v="0"/>
    <x v="1"/>
    <x v="0"/>
    <x v="86"/>
    <n v="0"/>
    <n v="115"/>
    <x v="3"/>
    <x v="0"/>
    <x v="2"/>
    <x v="0"/>
    <n v="4188"/>
    <x v="0"/>
    <n v="2.7459407831900668E-2"/>
    <s v="Medium"/>
    <n v="1"/>
    <s v="3"/>
  </r>
  <r>
    <s v="LP001343"/>
    <x v="0"/>
    <x v="1"/>
    <x v="0"/>
    <x v="0"/>
    <x v="0"/>
    <x v="87"/>
    <n v="3541"/>
    <n v="131"/>
    <x v="0"/>
    <x v="0"/>
    <x v="2"/>
    <x v="0"/>
    <n v="5300"/>
    <x v="0"/>
    <n v="2.4716981132075471E-2"/>
    <s v="Medium"/>
    <n v="1"/>
    <s v="3"/>
  </r>
  <r>
    <s v="LP001345"/>
    <x v="0"/>
    <x v="1"/>
    <x v="2"/>
    <x v="1"/>
    <x v="0"/>
    <x v="88"/>
    <n v="3263"/>
    <n v="133"/>
    <x v="3"/>
    <x v="0"/>
    <x v="0"/>
    <x v="0"/>
    <n v="7551"/>
    <x v="0"/>
    <n v="1.761356111773275E-2"/>
    <s v="Medium"/>
    <n v="1"/>
    <s v="1"/>
  </r>
  <r>
    <s v="LP001349"/>
    <x v="0"/>
    <x v="0"/>
    <x v="0"/>
    <x v="0"/>
    <x v="0"/>
    <x v="89"/>
    <n v="3806"/>
    <n v="151"/>
    <x v="0"/>
    <x v="0"/>
    <x v="2"/>
    <x v="0"/>
    <n v="8649"/>
    <x v="2"/>
    <n v="1.7458665741704245E-2"/>
    <s v="Medium"/>
    <n v="1"/>
    <s v="3"/>
  </r>
  <r>
    <s v="LP001350"/>
    <x v="0"/>
    <x v="1"/>
    <x v="0"/>
    <x v="0"/>
    <x v="0"/>
    <x v="90"/>
    <n v="0"/>
    <n v="0"/>
    <x v="0"/>
    <x v="0"/>
    <x v="0"/>
    <x v="0"/>
    <n v="13650"/>
    <x v="2"/>
    <n v="0"/>
    <s v="Small"/>
    <n v="1"/>
    <s v="1"/>
  </r>
  <r>
    <s v="LP001356"/>
    <x v="0"/>
    <x v="1"/>
    <x v="0"/>
    <x v="0"/>
    <x v="0"/>
    <x v="91"/>
    <n v="3583"/>
    <n v="0"/>
    <x v="0"/>
    <x v="0"/>
    <x v="2"/>
    <x v="0"/>
    <n v="8235"/>
    <x v="2"/>
    <n v="0"/>
    <s v="Small"/>
    <n v="1"/>
    <s v="3"/>
  </r>
  <r>
    <s v="LP001357"/>
    <x v="0"/>
    <x v="0"/>
    <x v="0"/>
    <x v="0"/>
    <x v="0"/>
    <x v="92"/>
    <n v="754"/>
    <n v="160"/>
    <x v="0"/>
    <x v="0"/>
    <x v="0"/>
    <x v="0"/>
    <n v="4570"/>
    <x v="0"/>
    <n v="3.5010940919037198E-2"/>
    <s v="Medium"/>
    <n v="1"/>
    <s v="1"/>
  </r>
  <r>
    <s v="LP001367"/>
    <x v="0"/>
    <x v="1"/>
    <x v="1"/>
    <x v="0"/>
    <x v="0"/>
    <x v="93"/>
    <n v="1030"/>
    <n v="100"/>
    <x v="0"/>
    <x v="0"/>
    <x v="0"/>
    <x v="0"/>
    <n v="4082"/>
    <x v="0"/>
    <n v="2.4497795198432142E-2"/>
    <s v="Medium"/>
    <n v="1"/>
    <s v="1"/>
  </r>
  <r>
    <s v="LP001369"/>
    <x v="0"/>
    <x v="1"/>
    <x v="2"/>
    <x v="0"/>
    <x v="0"/>
    <x v="94"/>
    <n v="1126"/>
    <n v="225"/>
    <x v="0"/>
    <x v="0"/>
    <x v="0"/>
    <x v="0"/>
    <n v="12543"/>
    <x v="2"/>
    <n v="1.7938292274575461E-2"/>
    <s v="Large"/>
    <n v="1"/>
    <s v="1"/>
  </r>
  <r>
    <s v="LP001370"/>
    <x v="0"/>
    <x v="0"/>
    <x v="0"/>
    <x v="1"/>
    <x v="0"/>
    <x v="95"/>
    <n v="0"/>
    <n v="120"/>
    <x v="0"/>
    <x v="0"/>
    <x v="1"/>
    <x v="1"/>
    <n v="7333"/>
    <x v="0"/>
    <n v="1.636438019909996E-2"/>
    <s v="Medium"/>
    <n v="0"/>
    <s v="2"/>
  </r>
  <r>
    <s v="LP001379"/>
    <x v="0"/>
    <x v="1"/>
    <x v="2"/>
    <x v="0"/>
    <x v="0"/>
    <x v="96"/>
    <n v="3600"/>
    <n v="216"/>
    <x v="0"/>
    <x v="1"/>
    <x v="0"/>
    <x v="1"/>
    <n v="7400"/>
    <x v="0"/>
    <n v="2.9189189189189189E-2"/>
    <s v="Large"/>
    <n v="0"/>
    <s v="1"/>
  </r>
  <r>
    <s v="LP001384"/>
    <x v="0"/>
    <x v="1"/>
    <x v="3"/>
    <x v="1"/>
    <x v="0"/>
    <x v="97"/>
    <n v="754"/>
    <n v="94"/>
    <x v="6"/>
    <x v="0"/>
    <x v="2"/>
    <x v="0"/>
    <n v="2825"/>
    <x v="1"/>
    <n v="3.3274336283185837E-2"/>
    <s v="Small"/>
    <n v="1"/>
    <s v="3"/>
  </r>
  <r>
    <s v="LP001385"/>
    <x v="0"/>
    <x v="0"/>
    <x v="0"/>
    <x v="0"/>
    <x v="0"/>
    <x v="98"/>
    <n v="0"/>
    <n v="136"/>
    <x v="0"/>
    <x v="0"/>
    <x v="0"/>
    <x v="0"/>
    <n v="5316"/>
    <x v="0"/>
    <n v="2.5583145221971408E-2"/>
    <s v="Medium"/>
    <n v="1"/>
    <s v="1"/>
  </r>
  <r>
    <s v="LP001387"/>
    <x v="1"/>
    <x v="1"/>
    <x v="0"/>
    <x v="0"/>
    <x v="0"/>
    <x v="99"/>
    <n v="2333"/>
    <n v="139"/>
    <x v="0"/>
    <x v="0"/>
    <x v="2"/>
    <x v="0"/>
    <n v="5262"/>
    <x v="0"/>
    <n v="2.6415811478525276E-2"/>
    <s v="Medium"/>
    <n v="1"/>
    <s v="3"/>
  </r>
  <r>
    <s v="LP001391"/>
    <x v="0"/>
    <x v="1"/>
    <x v="0"/>
    <x v="1"/>
    <x v="0"/>
    <x v="100"/>
    <n v="4114"/>
    <n v="152"/>
    <x v="0"/>
    <x v="1"/>
    <x v="1"/>
    <x v="1"/>
    <n v="7686"/>
    <x v="0"/>
    <n v="1.9776216497527973E-2"/>
    <s v="Medium"/>
    <n v="0"/>
    <s v="2"/>
  </r>
  <r>
    <s v="LP001392"/>
    <x v="1"/>
    <x v="0"/>
    <x v="1"/>
    <x v="0"/>
    <x v="1"/>
    <x v="101"/>
    <n v="0"/>
    <n v="0"/>
    <x v="0"/>
    <x v="0"/>
    <x v="2"/>
    <x v="0"/>
    <n v="7451"/>
    <x v="0"/>
    <n v="0"/>
    <s v="Small"/>
    <n v="1"/>
    <s v="3"/>
  </r>
  <r>
    <s v="LP001398"/>
    <x v="0"/>
    <x v="0"/>
    <x v="0"/>
    <x v="0"/>
    <x v="0"/>
    <x v="102"/>
    <n v="0"/>
    <n v="118"/>
    <x v="0"/>
    <x v="0"/>
    <x v="2"/>
    <x v="0"/>
    <n v="5050"/>
    <x v="0"/>
    <n v="2.3366336633663366E-2"/>
    <s v="Medium"/>
    <n v="1"/>
    <s v="3"/>
  </r>
  <r>
    <s v="LP001401"/>
    <x v="0"/>
    <x v="1"/>
    <x v="1"/>
    <x v="0"/>
    <x v="0"/>
    <x v="103"/>
    <n v="0"/>
    <n v="185"/>
    <x v="3"/>
    <x v="0"/>
    <x v="1"/>
    <x v="0"/>
    <n v="14583"/>
    <x v="2"/>
    <n v="1.2686004251525749E-2"/>
    <s v="Medium"/>
    <n v="1"/>
    <s v="2"/>
  </r>
  <r>
    <s v="LP001404"/>
    <x v="1"/>
    <x v="1"/>
    <x v="0"/>
    <x v="0"/>
    <x v="0"/>
    <x v="30"/>
    <n v="2283"/>
    <n v="154"/>
    <x v="0"/>
    <x v="0"/>
    <x v="2"/>
    <x v="0"/>
    <n v="5450"/>
    <x v="0"/>
    <n v="2.8256880733944955E-2"/>
    <s v="Medium"/>
    <n v="1"/>
    <s v="3"/>
  </r>
  <r>
    <s v="LP001405"/>
    <x v="0"/>
    <x v="1"/>
    <x v="1"/>
    <x v="0"/>
    <x v="0"/>
    <x v="104"/>
    <n v="1398"/>
    <n v="85"/>
    <x v="0"/>
    <x v="1"/>
    <x v="0"/>
    <x v="0"/>
    <n v="3612"/>
    <x v="1"/>
    <n v="2.353266888150609E-2"/>
    <s v="Small"/>
    <n v="1"/>
    <s v="1"/>
  </r>
  <r>
    <s v="LP001421"/>
    <x v="0"/>
    <x v="1"/>
    <x v="0"/>
    <x v="0"/>
    <x v="0"/>
    <x v="105"/>
    <n v="2142"/>
    <n v="175"/>
    <x v="0"/>
    <x v="0"/>
    <x v="1"/>
    <x v="1"/>
    <n v="7710"/>
    <x v="0"/>
    <n v="2.2697795071335927E-2"/>
    <s v="Medium"/>
    <n v="0"/>
    <s v="2"/>
  </r>
  <r>
    <s v="LP001422"/>
    <x v="1"/>
    <x v="0"/>
    <x v="0"/>
    <x v="0"/>
    <x v="0"/>
    <x v="106"/>
    <n v="0"/>
    <n v="259"/>
    <x v="0"/>
    <x v="0"/>
    <x v="0"/>
    <x v="0"/>
    <n v="10408"/>
    <x v="2"/>
    <n v="2.4884704073789392E-2"/>
    <s v="Large"/>
    <n v="1"/>
    <s v="1"/>
  </r>
  <r>
    <s v="LP001426"/>
    <x v="0"/>
    <x v="1"/>
    <x v="0"/>
    <x v="0"/>
    <x v="0"/>
    <x v="107"/>
    <n v="2667"/>
    <n v="180"/>
    <x v="0"/>
    <x v="0"/>
    <x v="1"/>
    <x v="0"/>
    <n v="8334"/>
    <x v="2"/>
    <n v="2.159827213822894E-2"/>
    <s v="Medium"/>
    <n v="1"/>
    <s v="2"/>
  </r>
  <r>
    <s v="LP001430"/>
    <x v="1"/>
    <x v="0"/>
    <x v="0"/>
    <x v="0"/>
    <x v="0"/>
    <x v="29"/>
    <n v="0"/>
    <n v="44"/>
    <x v="0"/>
    <x v="0"/>
    <x v="2"/>
    <x v="0"/>
    <n v="4166"/>
    <x v="0"/>
    <n v="1.0561689870379261E-2"/>
    <s v="Small"/>
    <n v="1"/>
    <s v="3"/>
  </r>
  <r>
    <s v="LP001431"/>
    <x v="1"/>
    <x v="0"/>
    <x v="0"/>
    <x v="0"/>
    <x v="0"/>
    <x v="108"/>
    <n v="8980"/>
    <n v="137"/>
    <x v="0"/>
    <x v="1"/>
    <x v="2"/>
    <x v="0"/>
    <n v="11117"/>
    <x v="2"/>
    <n v="1.232346856166232E-2"/>
    <s v="Medium"/>
    <n v="1"/>
    <s v="3"/>
  </r>
  <r>
    <s v="LP001432"/>
    <x v="0"/>
    <x v="1"/>
    <x v="2"/>
    <x v="0"/>
    <x v="0"/>
    <x v="109"/>
    <n v="0"/>
    <n v="81"/>
    <x v="0"/>
    <x v="0"/>
    <x v="2"/>
    <x v="0"/>
    <n v="2957"/>
    <x v="1"/>
    <n v="2.7392627663172135E-2"/>
    <s v="Small"/>
    <n v="1"/>
    <s v="3"/>
  </r>
  <r>
    <s v="LP001439"/>
    <x v="0"/>
    <x v="1"/>
    <x v="0"/>
    <x v="1"/>
    <x v="0"/>
    <x v="64"/>
    <n v="2014"/>
    <n v="194"/>
    <x v="0"/>
    <x v="0"/>
    <x v="1"/>
    <x v="0"/>
    <n v="6314"/>
    <x v="0"/>
    <n v="3.0725372188786824E-2"/>
    <s v="Medium"/>
    <n v="1"/>
    <s v="2"/>
  </r>
  <r>
    <s v="LP001443"/>
    <x v="1"/>
    <x v="0"/>
    <x v="0"/>
    <x v="0"/>
    <x v="0"/>
    <x v="110"/>
    <n v="0"/>
    <n v="93"/>
    <x v="0"/>
    <x v="0"/>
    <x v="1"/>
    <x v="0"/>
    <n v="3692"/>
    <x v="1"/>
    <n v="2.5189599133261104E-2"/>
    <s v="Small"/>
    <n v="1"/>
    <s v="2"/>
  </r>
  <r>
    <s v="LP001448"/>
    <x v="0"/>
    <x v="1"/>
    <x v="3"/>
    <x v="0"/>
    <x v="0"/>
    <x v="111"/>
    <n v="0"/>
    <n v="370"/>
    <x v="0"/>
    <x v="0"/>
    <x v="1"/>
    <x v="0"/>
    <n v="23803"/>
    <x v="2"/>
    <n v="1.5544259127000798E-2"/>
    <s v="Large"/>
    <n v="1"/>
    <s v="2"/>
  </r>
  <r>
    <s v="LP001449"/>
    <x v="0"/>
    <x v="0"/>
    <x v="0"/>
    <x v="0"/>
    <x v="0"/>
    <x v="112"/>
    <n v="1640"/>
    <n v="0"/>
    <x v="0"/>
    <x v="0"/>
    <x v="1"/>
    <x v="0"/>
    <n v="5505"/>
    <x v="0"/>
    <n v="0"/>
    <s v="Small"/>
    <n v="1"/>
    <s v="2"/>
  </r>
  <r>
    <s v="LP001451"/>
    <x v="0"/>
    <x v="1"/>
    <x v="1"/>
    <x v="0"/>
    <x v="1"/>
    <x v="113"/>
    <n v="3850"/>
    <n v="160"/>
    <x v="3"/>
    <x v="1"/>
    <x v="0"/>
    <x v="1"/>
    <n v="14363"/>
    <x v="2"/>
    <n v="1.1139734038849823E-2"/>
    <s v="Medium"/>
    <n v="0"/>
    <s v="1"/>
  </r>
  <r>
    <s v="LP001465"/>
    <x v="0"/>
    <x v="1"/>
    <x v="0"/>
    <x v="0"/>
    <x v="0"/>
    <x v="114"/>
    <n v="2569"/>
    <n v="182"/>
    <x v="0"/>
    <x v="0"/>
    <x v="1"/>
    <x v="1"/>
    <n v="8649"/>
    <x v="2"/>
    <n v="2.1042895132385248E-2"/>
    <s v="Medium"/>
    <n v="0"/>
    <s v="2"/>
  </r>
  <r>
    <s v="LP001469"/>
    <x v="0"/>
    <x v="0"/>
    <x v="0"/>
    <x v="0"/>
    <x v="1"/>
    <x v="115"/>
    <n v="0"/>
    <n v="650"/>
    <x v="6"/>
    <x v="0"/>
    <x v="0"/>
    <x v="0"/>
    <n v="20166"/>
    <x v="2"/>
    <n v="3.223247049489239E-2"/>
    <s v="Large"/>
    <n v="1"/>
    <s v="1"/>
  </r>
  <r>
    <s v="LP001473"/>
    <x v="0"/>
    <x v="0"/>
    <x v="0"/>
    <x v="0"/>
    <x v="0"/>
    <x v="116"/>
    <n v="1929"/>
    <n v="74"/>
    <x v="0"/>
    <x v="0"/>
    <x v="0"/>
    <x v="0"/>
    <n v="3943"/>
    <x v="1"/>
    <n v="1.8767435962465127E-2"/>
    <s v="Small"/>
    <n v="1"/>
    <s v="1"/>
  </r>
  <r>
    <s v="LP001478"/>
    <x v="0"/>
    <x v="0"/>
    <x v="0"/>
    <x v="0"/>
    <x v="0"/>
    <x v="117"/>
    <n v="0"/>
    <n v="70"/>
    <x v="0"/>
    <x v="0"/>
    <x v="2"/>
    <x v="0"/>
    <n v="2718"/>
    <x v="1"/>
    <n v="2.5754231052244298E-2"/>
    <s v="Small"/>
    <n v="1"/>
    <s v="3"/>
  </r>
  <r>
    <s v="LP001482"/>
    <x v="0"/>
    <x v="1"/>
    <x v="0"/>
    <x v="0"/>
    <x v="1"/>
    <x v="118"/>
    <n v="0"/>
    <n v="25"/>
    <x v="1"/>
    <x v="0"/>
    <x v="2"/>
    <x v="0"/>
    <n v="3459"/>
    <x v="1"/>
    <n v="7.2275224053194561E-3"/>
    <s v="Small"/>
    <n v="1"/>
    <s v="3"/>
  </r>
  <r>
    <s v="LP001487"/>
    <x v="0"/>
    <x v="0"/>
    <x v="0"/>
    <x v="0"/>
    <x v="0"/>
    <x v="119"/>
    <n v="0"/>
    <n v="102"/>
    <x v="0"/>
    <x v="0"/>
    <x v="2"/>
    <x v="0"/>
    <n v="4895"/>
    <x v="0"/>
    <n v="2.0837589376915218E-2"/>
    <s v="Medium"/>
    <n v="1"/>
    <s v="3"/>
  </r>
  <r>
    <s v="LP001488"/>
    <x v="0"/>
    <x v="1"/>
    <x v="3"/>
    <x v="0"/>
    <x v="0"/>
    <x v="47"/>
    <n v="7750"/>
    <n v="290"/>
    <x v="0"/>
    <x v="0"/>
    <x v="2"/>
    <x v="1"/>
    <n v="11750"/>
    <x v="2"/>
    <n v="2.4680851063829789E-2"/>
    <s v="Large"/>
    <n v="0"/>
    <s v="3"/>
  </r>
  <r>
    <s v="LP001489"/>
    <x v="1"/>
    <x v="1"/>
    <x v="0"/>
    <x v="0"/>
    <x v="0"/>
    <x v="1"/>
    <n v="0"/>
    <n v="84"/>
    <x v="0"/>
    <x v="0"/>
    <x v="1"/>
    <x v="1"/>
    <n v="4583"/>
    <x v="0"/>
    <n v="1.8328605716779401E-2"/>
    <s v="Small"/>
    <n v="0"/>
    <s v="2"/>
  </r>
  <r>
    <s v="LP001491"/>
    <x v="0"/>
    <x v="1"/>
    <x v="2"/>
    <x v="0"/>
    <x v="1"/>
    <x v="120"/>
    <n v="3500"/>
    <n v="88"/>
    <x v="0"/>
    <x v="0"/>
    <x v="0"/>
    <x v="0"/>
    <n v="6816"/>
    <x v="0"/>
    <n v="1.2910798122065728E-2"/>
    <s v="Small"/>
    <n v="1"/>
    <s v="1"/>
  </r>
  <r>
    <s v="LP001492"/>
    <x v="0"/>
    <x v="0"/>
    <x v="0"/>
    <x v="0"/>
    <x v="0"/>
    <x v="121"/>
    <n v="0"/>
    <n v="242"/>
    <x v="0"/>
    <x v="1"/>
    <x v="2"/>
    <x v="1"/>
    <n v="14999"/>
    <x v="2"/>
    <n v="1.6134408960597372E-2"/>
    <s v="Large"/>
    <n v="0"/>
    <s v="3"/>
  </r>
  <r>
    <s v="LP001493"/>
    <x v="0"/>
    <x v="1"/>
    <x v="2"/>
    <x v="1"/>
    <x v="0"/>
    <x v="122"/>
    <n v="1430"/>
    <n v="129"/>
    <x v="0"/>
    <x v="0"/>
    <x v="1"/>
    <x v="1"/>
    <n v="5630"/>
    <x v="0"/>
    <n v="2.2912966252220248E-2"/>
    <s v="Medium"/>
    <n v="0"/>
    <s v="2"/>
  </r>
  <r>
    <s v="LP001497"/>
    <x v="0"/>
    <x v="1"/>
    <x v="2"/>
    <x v="0"/>
    <x v="0"/>
    <x v="123"/>
    <n v="2083"/>
    <n v="185"/>
    <x v="0"/>
    <x v="0"/>
    <x v="1"/>
    <x v="1"/>
    <n v="7125"/>
    <x v="0"/>
    <n v="2.5964912280701753E-2"/>
    <s v="Medium"/>
    <n v="0"/>
    <s v="2"/>
  </r>
  <r>
    <s v="LP001498"/>
    <x v="0"/>
    <x v="0"/>
    <x v="0"/>
    <x v="0"/>
    <x v="0"/>
    <x v="5"/>
    <n v="0"/>
    <n v="168"/>
    <x v="0"/>
    <x v="0"/>
    <x v="0"/>
    <x v="0"/>
    <n v="5417"/>
    <x v="0"/>
    <n v="3.1013476093778844E-2"/>
    <s v="Medium"/>
    <n v="1"/>
    <s v="1"/>
  </r>
  <r>
    <s v="LP001504"/>
    <x v="0"/>
    <x v="0"/>
    <x v="0"/>
    <x v="0"/>
    <x v="1"/>
    <x v="124"/>
    <n v="0"/>
    <n v="175"/>
    <x v="3"/>
    <x v="0"/>
    <x v="2"/>
    <x v="0"/>
    <n v="6950"/>
    <x v="0"/>
    <n v="2.5179856115107913E-2"/>
    <s v="Medium"/>
    <n v="1"/>
    <s v="3"/>
  </r>
  <r>
    <s v="LP001507"/>
    <x v="0"/>
    <x v="1"/>
    <x v="0"/>
    <x v="0"/>
    <x v="0"/>
    <x v="125"/>
    <n v="2034"/>
    <n v="122"/>
    <x v="0"/>
    <x v="0"/>
    <x v="2"/>
    <x v="0"/>
    <n v="4732"/>
    <x v="0"/>
    <n v="2.5781910397295011E-2"/>
    <s v="Medium"/>
    <n v="1"/>
    <s v="3"/>
  </r>
  <r>
    <s v="LP001508"/>
    <x v="0"/>
    <x v="1"/>
    <x v="2"/>
    <x v="0"/>
    <x v="0"/>
    <x v="126"/>
    <n v="0"/>
    <n v="187"/>
    <x v="3"/>
    <x v="0"/>
    <x v="0"/>
    <x v="0"/>
    <n v="11757"/>
    <x v="2"/>
    <n v="1.5905418048821979E-2"/>
    <s v="Medium"/>
    <n v="1"/>
    <s v="1"/>
  </r>
  <r>
    <s v="LP001514"/>
    <x v="1"/>
    <x v="1"/>
    <x v="0"/>
    <x v="0"/>
    <x v="0"/>
    <x v="127"/>
    <n v="4486"/>
    <n v="100"/>
    <x v="0"/>
    <x v="0"/>
    <x v="2"/>
    <x v="0"/>
    <n v="6816"/>
    <x v="0"/>
    <n v="1.4671361502347418E-2"/>
    <s v="Medium"/>
    <n v="1"/>
    <s v="3"/>
  </r>
  <r>
    <s v="LP001516"/>
    <x v="1"/>
    <x v="1"/>
    <x v="2"/>
    <x v="0"/>
    <x v="0"/>
    <x v="128"/>
    <n v="0"/>
    <n v="70"/>
    <x v="0"/>
    <x v="0"/>
    <x v="0"/>
    <x v="0"/>
    <n v="14866"/>
    <x v="2"/>
    <n v="4.7087313332436435E-3"/>
    <s v="Small"/>
    <n v="1"/>
    <s v="1"/>
  </r>
  <r>
    <s v="LP001518"/>
    <x v="0"/>
    <x v="1"/>
    <x v="1"/>
    <x v="0"/>
    <x v="0"/>
    <x v="129"/>
    <n v="1425"/>
    <n v="30"/>
    <x v="0"/>
    <x v="0"/>
    <x v="0"/>
    <x v="0"/>
    <n v="2963"/>
    <x v="1"/>
    <n v="1.0124873439082012E-2"/>
    <s v="Small"/>
    <n v="1"/>
    <s v="1"/>
  </r>
  <r>
    <s v="LP001519"/>
    <x v="1"/>
    <x v="0"/>
    <x v="0"/>
    <x v="0"/>
    <x v="0"/>
    <x v="130"/>
    <n v="1666"/>
    <n v="225"/>
    <x v="0"/>
    <x v="0"/>
    <x v="1"/>
    <x v="1"/>
    <n v="11666"/>
    <x v="2"/>
    <n v="1.9286816389507973E-2"/>
    <s v="Large"/>
    <n v="0"/>
    <s v="2"/>
  </r>
  <r>
    <s v="LP001520"/>
    <x v="0"/>
    <x v="1"/>
    <x v="0"/>
    <x v="0"/>
    <x v="0"/>
    <x v="131"/>
    <n v="830"/>
    <n v="125"/>
    <x v="0"/>
    <x v="0"/>
    <x v="2"/>
    <x v="0"/>
    <n v="5690"/>
    <x v="0"/>
    <n v="2.1968365553602813E-2"/>
    <s v="Medium"/>
    <n v="1"/>
    <s v="3"/>
  </r>
  <r>
    <s v="LP001528"/>
    <x v="0"/>
    <x v="0"/>
    <x v="0"/>
    <x v="0"/>
    <x v="0"/>
    <x v="132"/>
    <n v="0"/>
    <n v="118"/>
    <x v="0"/>
    <x v="1"/>
    <x v="1"/>
    <x v="1"/>
    <n v="6277"/>
    <x v="0"/>
    <n v="1.8798789230524134E-2"/>
    <s v="Medium"/>
    <n v="0"/>
    <s v="2"/>
  </r>
  <r>
    <s v="LP001529"/>
    <x v="0"/>
    <x v="1"/>
    <x v="0"/>
    <x v="0"/>
    <x v="1"/>
    <x v="133"/>
    <n v="3750"/>
    <n v="152"/>
    <x v="0"/>
    <x v="0"/>
    <x v="1"/>
    <x v="0"/>
    <n v="6327"/>
    <x v="0"/>
    <n v="2.4024024024024024E-2"/>
    <s v="Medium"/>
    <n v="1"/>
    <s v="2"/>
  </r>
  <r>
    <s v="LP001531"/>
    <x v="0"/>
    <x v="0"/>
    <x v="0"/>
    <x v="0"/>
    <x v="0"/>
    <x v="134"/>
    <n v="0"/>
    <n v="244"/>
    <x v="0"/>
    <x v="0"/>
    <x v="0"/>
    <x v="1"/>
    <n v="9166"/>
    <x v="2"/>
    <n v="2.6620117826751038E-2"/>
    <s v="Large"/>
    <n v="0"/>
    <s v="1"/>
  </r>
  <r>
    <s v="LP001532"/>
    <x v="0"/>
    <x v="1"/>
    <x v="2"/>
    <x v="1"/>
    <x v="0"/>
    <x v="135"/>
    <n v="0"/>
    <n v="113"/>
    <x v="0"/>
    <x v="0"/>
    <x v="1"/>
    <x v="1"/>
    <n v="2281"/>
    <x v="1"/>
    <n v="4.9539675580885574E-2"/>
    <s v="Medium"/>
    <n v="0"/>
    <s v="2"/>
  </r>
  <r>
    <s v="LP001535"/>
    <x v="0"/>
    <x v="0"/>
    <x v="0"/>
    <x v="0"/>
    <x v="0"/>
    <x v="136"/>
    <n v="0"/>
    <n v="50"/>
    <x v="0"/>
    <x v="0"/>
    <x v="0"/>
    <x v="0"/>
    <n v="3254"/>
    <x v="1"/>
    <n v="1.5365703749231715E-2"/>
    <s v="Small"/>
    <n v="1"/>
    <s v="1"/>
  </r>
  <r>
    <s v="LP001536"/>
    <x v="0"/>
    <x v="1"/>
    <x v="3"/>
    <x v="0"/>
    <x v="0"/>
    <x v="137"/>
    <n v="0"/>
    <n v="600"/>
    <x v="3"/>
    <x v="1"/>
    <x v="2"/>
    <x v="0"/>
    <n v="39999"/>
    <x v="2"/>
    <n v="1.5000375009375235E-2"/>
    <s v="Large"/>
    <n v="1"/>
    <s v="3"/>
  </r>
  <r>
    <s v="LP001541"/>
    <x v="0"/>
    <x v="1"/>
    <x v="1"/>
    <x v="0"/>
    <x v="0"/>
    <x v="4"/>
    <n v="0"/>
    <n v="160"/>
    <x v="0"/>
    <x v="0"/>
    <x v="1"/>
    <x v="0"/>
    <n v="6000"/>
    <x v="0"/>
    <n v="2.6666666666666668E-2"/>
    <s v="Medium"/>
    <n v="1"/>
    <s v="2"/>
  </r>
  <r>
    <s v="LP001543"/>
    <x v="0"/>
    <x v="1"/>
    <x v="1"/>
    <x v="0"/>
    <x v="0"/>
    <x v="138"/>
    <n v="0"/>
    <n v="187"/>
    <x v="0"/>
    <x v="0"/>
    <x v="0"/>
    <x v="0"/>
    <n v="9538"/>
    <x v="2"/>
    <n v="1.9605787376808556E-2"/>
    <s v="Medium"/>
    <n v="1"/>
    <s v="1"/>
  </r>
  <r>
    <s v="LP001546"/>
    <x v="0"/>
    <x v="0"/>
    <x v="0"/>
    <x v="0"/>
    <x v="0"/>
    <x v="139"/>
    <n v="2083"/>
    <n v="120"/>
    <x v="0"/>
    <x v="0"/>
    <x v="1"/>
    <x v="0"/>
    <n v="5063"/>
    <x v="0"/>
    <n v="2.3701362828362632E-2"/>
    <s v="Medium"/>
    <n v="1"/>
    <s v="2"/>
  </r>
  <r>
    <s v="LP001552"/>
    <x v="0"/>
    <x v="1"/>
    <x v="0"/>
    <x v="0"/>
    <x v="0"/>
    <x v="1"/>
    <n v="5625"/>
    <n v="255"/>
    <x v="0"/>
    <x v="0"/>
    <x v="2"/>
    <x v="0"/>
    <n v="10208"/>
    <x v="2"/>
    <n v="2.498040752351097E-2"/>
    <s v="Large"/>
    <n v="1"/>
    <s v="3"/>
  </r>
  <r>
    <s v="LP001560"/>
    <x v="0"/>
    <x v="1"/>
    <x v="0"/>
    <x v="1"/>
    <x v="0"/>
    <x v="140"/>
    <n v="1041"/>
    <n v="98"/>
    <x v="0"/>
    <x v="0"/>
    <x v="2"/>
    <x v="0"/>
    <n v="2904"/>
    <x v="1"/>
    <n v="3.3746556473829202E-2"/>
    <s v="Small"/>
    <n v="1"/>
    <s v="3"/>
  </r>
  <r>
    <s v="LP001562"/>
    <x v="0"/>
    <x v="1"/>
    <x v="0"/>
    <x v="0"/>
    <x v="0"/>
    <x v="141"/>
    <n v="0"/>
    <n v="275"/>
    <x v="0"/>
    <x v="0"/>
    <x v="0"/>
    <x v="1"/>
    <n v="7933"/>
    <x v="0"/>
    <n v="3.4665322072355981E-2"/>
    <s v="Large"/>
    <n v="0"/>
    <s v="1"/>
  </r>
  <r>
    <s v="LP001565"/>
    <x v="0"/>
    <x v="1"/>
    <x v="1"/>
    <x v="0"/>
    <x v="0"/>
    <x v="142"/>
    <n v="1280"/>
    <n v="121"/>
    <x v="0"/>
    <x v="1"/>
    <x v="2"/>
    <x v="1"/>
    <n v="4369"/>
    <x v="0"/>
    <n v="2.7695124742504004E-2"/>
    <s v="Medium"/>
    <n v="0"/>
    <s v="3"/>
  </r>
  <r>
    <s v="LP001570"/>
    <x v="0"/>
    <x v="1"/>
    <x v="2"/>
    <x v="0"/>
    <x v="0"/>
    <x v="143"/>
    <n v="1447"/>
    <n v="158"/>
    <x v="0"/>
    <x v="0"/>
    <x v="1"/>
    <x v="0"/>
    <n v="5614"/>
    <x v="0"/>
    <n v="2.8143925899536872E-2"/>
    <s v="Medium"/>
    <n v="1"/>
    <s v="2"/>
  </r>
  <r>
    <s v="LP001572"/>
    <x v="0"/>
    <x v="1"/>
    <x v="0"/>
    <x v="0"/>
    <x v="0"/>
    <x v="144"/>
    <n v="0"/>
    <n v="75"/>
    <x v="3"/>
    <x v="0"/>
    <x v="0"/>
    <x v="0"/>
    <n v="9323"/>
    <x v="2"/>
    <n v="8.044620830204869E-3"/>
    <s v="Small"/>
    <n v="1"/>
    <s v="1"/>
  </r>
  <r>
    <s v="LP001574"/>
    <x v="0"/>
    <x v="1"/>
    <x v="0"/>
    <x v="0"/>
    <x v="0"/>
    <x v="145"/>
    <n v="3166"/>
    <n v="182"/>
    <x v="0"/>
    <x v="0"/>
    <x v="1"/>
    <x v="0"/>
    <n v="6873"/>
    <x v="0"/>
    <n v="2.648043067074058E-2"/>
    <s v="Medium"/>
    <n v="1"/>
    <s v="2"/>
  </r>
  <r>
    <s v="LP001577"/>
    <x v="1"/>
    <x v="1"/>
    <x v="0"/>
    <x v="0"/>
    <x v="0"/>
    <x v="1"/>
    <n v="0"/>
    <n v="112"/>
    <x v="0"/>
    <x v="0"/>
    <x v="1"/>
    <x v="1"/>
    <n v="4583"/>
    <x v="0"/>
    <n v="2.4438140955705869E-2"/>
    <s v="Medium"/>
    <n v="0"/>
    <s v="2"/>
  </r>
  <r>
    <s v="LP001578"/>
    <x v="0"/>
    <x v="1"/>
    <x v="0"/>
    <x v="0"/>
    <x v="0"/>
    <x v="146"/>
    <n v="3333"/>
    <n v="129"/>
    <x v="0"/>
    <x v="0"/>
    <x v="1"/>
    <x v="0"/>
    <n v="5772"/>
    <x v="0"/>
    <n v="2.2349272349272351E-2"/>
    <s v="Medium"/>
    <n v="1"/>
    <s v="2"/>
  </r>
  <r>
    <s v="LP001579"/>
    <x v="0"/>
    <x v="0"/>
    <x v="0"/>
    <x v="0"/>
    <x v="0"/>
    <x v="147"/>
    <n v="0"/>
    <n v="63"/>
    <x v="6"/>
    <x v="1"/>
    <x v="2"/>
    <x v="1"/>
    <n v="2237"/>
    <x v="1"/>
    <n v="2.8162717925793473E-2"/>
    <s v="Small"/>
    <n v="0"/>
    <s v="3"/>
  </r>
  <r>
    <s v="LP001580"/>
    <x v="0"/>
    <x v="1"/>
    <x v="2"/>
    <x v="0"/>
    <x v="0"/>
    <x v="148"/>
    <n v="0"/>
    <n v="200"/>
    <x v="0"/>
    <x v="0"/>
    <x v="2"/>
    <x v="0"/>
    <n v="8000"/>
    <x v="2"/>
    <n v="2.5000000000000001E-2"/>
    <s v="Large"/>
    <n v="1"/>
    <s v="3"/>
  </r>
  <r>
    <s v="LP001581"/>
    <x v="0"/>
    <x v="1"/>
    <x v="0"/>
    <x v="1"/>
    <x v="0"/>
    <x v="149"/>
    <n v="1769"/>
    <n v="95"/>
    <x v="0"/>
    <x v="0"/>
    <x v="1"/>
    <x v="0"/>
    <n v="3589"/>
    <x v="1"/>
    <n v="2.6469768737809974E-2"/>
    <s v="Small"/>
    <n v="1"/>
    <s v="2"/>
  </r>
  <r>
    <s v="LP001585"/>
    <x v="1"/>
    <x v="1"/>
    <x v="3"/>
    <x v="0"/>
    <x v="0"/>
    <x v="150"/>
    <n v="0"/>
    <n v="700"/>
    <x v="5"/>
    <x v="0"/>
    <x v="0"/>
    <x v="0"/>
    <n v="51763"/>
    <x v="2"/>
    <n v="1.3523172922744044E-2"/>
    <s v="Large"/>
    <n v="1"/>
    <s v="1"/>
  </r>
  <r>
    <s v="LP001586"/>
    <x v="0"/>
    <x v="1"/>
    <x v="3"/>
    <x v="1"/>
    <x v="0"/>
    <x v="151"/>
    <n v="0"/>
    <n v="81"/>
    <x v="3"/>
    <x v="0"/>
    <x v="1"/>
    <x v="1"/>
    <n v="3522"/>
    <x v="1"/>
    <n v="2.2998296422487224E-2"/>
    <s v="Small"/>
    <n v="0"/>
    <s v="2"/>
  </r>
  <r>
    <s v="LP001594"/>
    <x v="0"/>
    <x v="1"/>
    <x v="0"/>
    <x v="0"/>
    <x v="0"/>
    <x v="152"/>
    <n v="5625"/>
    <n v="187"/>
    <x v="0"/>
    <x v="0"/>
    <x v="2"/>
    <x v="0"/>
    <n v="11333"/>
    <x v="2"/>
    <n v="1.6500485308391422E-2"/>
    <s v="Medium"/>
    <n v="1"/>
    <s v="3"/>
  </r>
  <r>
    <s v="LP001603"/>
    <x v="0"/>
    <x v="1"/>
    <x v="0"/>
    <x v="1"/>
    <x v="1"/>
    <x v="153"/>
    <n v="736"/>
    <n v="87"/>
    <x v="0"/>
    <x v="0"/>
    <x v="2"/>
    <x v="1"/>
    <n v="5080"/>
    <x v="0"/>
    <n v="1.7125984251968505E-2"/>
    <s v="Small"/>
    <n v="0"/>
    <s v="3"/>
  </r>
  <r>
    <s v="LP001606"/>
    <x v="0"/>
    <x v="1"/>
    <x v="0"/>
    <x v="0"/>
    <x v="0"/>
    <x v="154"/>
    <n v="1964"/>
    <n v="116"/>
    <x v="0"/>
    <x v="0"/>
    <x v="1"/>
    <x v="0"/>
    <n v="5461"/>
    <x v="0"/>
    <n v="2.1241530855154733E-2"/>
    <s v="Medium"/>
    <n v="1"/>
    <s v="2"/>
  </r>
  <r>
    <s v="LP001608"/>
    <x v="0"/>
    <x v="1"/>
    <x v="2"/>
    <x v="0"/>
    <x v="0"/>
    <x v="155"/>
    <n v="1619"/>
    <n v="101"/>
    <x v="0"/>
    <x v="0"/>
    <x v="1"/>
    <x v="0"/>
    <n v="3664"/>
    <x v="1"/>
    <n v="2.7565502183406112E-2"/>
    <s v="Medium"/>
    <n v="1"/>
    <s v="2"/>
  </r>
  <r>
    <s v="LP001610"/>
    <x v="0"/>
    <x v="1"/>
    <x v="3"/>
    <x v="0"/>
    <x v="0"/>
    <x v="156"/>
    <n v="11300"/>
    <n v="495"/>
    <x v="0"/>
    <x v="1"/>
    <x v="2"/>
    <x v="1"/>
    <n v="16816"/>
    <x v="2"/>
    <n v="2.9436251189343482E-2"/>
    <s v="Large"/>
    <n v="0"/>
    <s v="3"/>
  </r>
  <r>
    <s v="LP001616"/>
    <x v="0"/>
    <x v="1"/>
    <x v="1"/>
    <x v="0"/>
    <x v="0"/>
    <x v="28"/>
    <n v="0"/>
    <n v="116"/>
    <x v="0"/>
    <x v="0"/>
    <x v="2"/>
    <x v="0"/>
    <n v="3750"/>
    <x v="1"/>
    <n v="3.0933333333333334E-2"/>
    <s v="Medium"/>
    <n v="1"/>
    <s v="3"/>
  </r>
  <r>
    <s v="LP001630"/>
    <x v="0"/>
    <x v="0"/>
    <x v="0"/>
    <x v="1"/>
    <x v="0"/>
    <x v="6"/>
    <n v="1451"/>
    <n v="102"/>
    <x v="6"/>
    <x v="1"/>
    <x v="0"/>
    <x v="1"/>
    <n v="3784"/>
    <x v="1"/>
    <n v="2.6955602536997886E-2"/>
    <s v="Medium"/>
    <n v="0"/>
    <s v="1"/>
  </r>
  <r>
    <s v="LP001633"/>
    <x v="0"/>
    <x v="1"/>
    <x v="1"/>
    <x v="0"/>
    <x v="0"/>
    <x v="157"/>
    <n v="7250"/>
    <n v="180"/>
    <x v="0"/>
    <x v="1"/>
    <x v="0"/>
    <x v="1"/>
    <n v="13650"/>
    <x v="2"/>
    <n v="1.3186813186813187E-2"/>
    <s v="Medium"/>
    <n v="0"/>
    <s v="1"/>
  </r>
  <r>
    <s v="LP001634"/>
    <x v="0"/>
    <x v="0"/>
    <x v="0"/>
    <x v="0"/>
    <x v="0"/>
    <x v="158"/>
    <n v="5063"/>
    <n v="67"/>
    <x v="0"/>
    <x v="0"/>
    <x v="1"/>
    <x v="1"/>
    <n v="6979"/>
    <x v="0"/>
    <n v="9.6002292592061896E-3"/>
    <s v="Small"/>
    <n v="0"/>
    <s v="2"/>
  </r>
  <r>
    <s v="LP001636"/>
    <x v="0"/>
    <x v="1"/>
    <x v="0"/>
    <x v="0"/>
    <x v="0"/>
    <x v="159"/>
    <n v="0"/>
    <n v="73"/>
    <x v="3"/>
    <x v="0"/>
    <x v="2"/>
    <x v="0"/>
    <n v="4600"/>
    <x v="0"/>
    <n v="1.5869565217391305E-2"/>
    <s v="Small"/>
    <n v="1"/>
    <s v="3"/>
  </r>
  <r>
    <s v="LP001637"/>
    <x v="0"/>
    <x v="1"/>
    <x v="1"/>
    <x v="0"/>
    <x v="0"/>
    <x v="160"/>
    <n v="0"/>
    <n v="260"/>
    <x v="0"/>
    <x v="0"/>
    <x v="2"/>
    <x v="1"/>
    <n v="33846"/>
    <x v="2"/>
    <n v="7.6818530993322696E-3"/>
    <s v="Large"/>
    <n v="0"/>
    <s v="3"/>
  </r>
  <r>
    <s v="LP001639"/>
    <x v="1"/>
    <x v="1"/>
    <x v="0"/>
    <x v="0"/>
    <x v="0"/>
    <x v="161"/>
    <n v="0"/>
    <n v="108"/>
    <x v="0"/>
    <x v="0"/>
    <x v="2"/>
    <x v="0"/>
    <n v="3625"/>
    <x v="1"/>
    <n v="2.9793103448275862E-2"/>
    <s v="Medium"/>
    <n v="1"/>
    <s v="3"/>
  </r>
  <r>
    <s v="LP001640"/>
    <x v="0"/>
    <x v="1"/>
    <x v="0"/>
    <x v="0"/>
    <x v="1"/>
    <x v="162"/>
    <n v="4750"/>
    <n v="120"/>
    <x v="0"/>
    <x v="0"/>
    <x v="2"/>
    <x v="0"/>
    <n v="43897"/>
    <x v="2"/>
    <n v="2.7336720049206094E-3"/>
    <s v="Medium"/>
    <n v="1"/>
    <s v="3"/>
  </r>
  <r>
    <s v="LP001641"/>
    <x v="0"/>
    <x v="1"/>
    <x v="1"/>
    <x v="0"/>
    <x v="1"/>
    <x v="163"/>
    <n v="0"/>
    <n v="66"/>
    <x v="5"/>
    <x v="1"/>
    <x v="1"/>
    <x v="1"/>
    <n v="2178"/>
    <x v="1"/>
    <n v="3.0303030303030304E-2"/>
    <s v="Small"/>
    <n v="0"/>
    <s v="2"/>
  </r>
  <r>
    <s v="LP001643"/>
    <x v="0"/>
    <x v="1"/>
    <x v="0"/>
    <x v="0"/>
    <x v="0"/>
    <x v="164"/>
    <n v="2138"/>
    <n v="58"/>
    <x v="0"/>
    <x v="0"/>
    <x v="1"/>
    <x v="0"/>
    <n v="4521"/>
    <x v="0"/>
    <n v="1.2829020128290201E-2"/>
    <s v="Small"/>
    <n v="1"/>
    <s v="2"/>
  </r>
  <r>
    <s v="LP001644"/>
    <x v="0"/>
    <x v="1"/>
    <x v="0"/>
    <x v="0"/>
    <x v="1"/>
    <x v="165"/>
    <n v="5296"/>
    <n v="168"/>
    <x v="0"/>
    <x v="0"/>
    <x v="1"/>
    <x v="0"/>
    <n v="5970"/>
    <x v="0"/>
    <n v="2.8140703517587941E-2"/>
    <s v="Medium"/>
    <n v="1"/>
    <s v="2"/>
  </r>
  <r>
    <s v="LP001647"/>
    <x v="0"/>
    <x v="1"/>
    <x v="0"/>
    <x v="0"/>
    <x v="0"/>
    <x v="166"/>
    <n v="0"/>
    <n v="188"/>
    <x v="3"/>
    <x v="0"/>
    <x v="1"/>
    <x v="0"/>
    <n v="9328"/>
    <x v="2"/>
    <n v="2.0154373927958835E-2"/>
    <s v="Medium"/>
    <n v="1"/>
    <s v="2"/>
  </r>
  <r>
    <s v="LP001653"/>
    <x v="0"/>
    <x v="0"/>
    <x v="0"/>
    <x v="1"/>
    <x v="0"/>
    <x v="167"/>
    <n v="0"/>
    <n v="48"/>
    <x v="0"/>
    <x v="0"/>
    <x v="1"/>
    <x v="0"/>
    <n v="4885"/>
    <x v="0"/>
    <n v="9.8259979529170937E-3"/>
    <s v="Small"/>
    <n v="1"/>
    <s v="2"/>
  </r>
  <r>
    <s v="LP001656"/>
    <x v="0"/>
    <x v="0"/>
    <x v="0"/>
    <x v="0"/>
    <x v="0"/>
    <x v="168"/>
    <n v="0"/>
    <n v="164"/>
    <x v="0"/>
    <x v="0"/>
    <x v="2"/>
    <x v="1"/>
    <n v="12000"/>
    <x v="2"/>
    <n v="1.3666666666666667E-2"/>
    <s v="Medium"/>
    <n v="0"/>
    <s v="3"/>
  </r>
  <r>
    <s v="LP001657"/>
    <x v="0"/>
    <x v="1"/>
    <x v="0"/>
    <x v="1"/>
    <x v="0"/>
    <x v="169"/>
    <n v="0"/>
    <n v="160"/>
    <x v="0"/>
    <x v="0"/>
    <x v="0"/>
    <x v="1"/>
    <n v="6033"/>
    <x v="0"/>
    <n v="2.6520802254268193E-2"/>
    <s v="Medium"/>
    <n v="0"/>
    <s v="1"/>
  </r>
  <r>
    <s v="LP001658"/>
    <x v="0"/>
    <x v="0"/>
    <x v="0"/>
    <x v="0"/>
    <x v="0"/>
    <x v="170"/>
    <n v="0"/>
    <n v="76"/>
    <x v="0"/>
    <x v="0"/>
    <x v="2"/>
    <x v="0"/>
    <n v="3858"/>
    <x v="1"/>
    <n v="1.9699326075686883E-2"/>
    <s v="Small"/>
    <n v="1"/>
    <s v="3"/>
  </r>
  <r>
    <s v="LP001664"/>
    <x v="0"/>
    <x v="0"/>
    <x v="0"/>
    <x v="0"/>
    <x v="0"/>
    <x v="171"/>
    <n v="0"/>
    <n v="120"/>
    <x v="0"/>
    <x v="0"/>
    <x v="1"/>
    <x v="0"/>
    <n v="4191"/>
    <x v="0"/>
    <n v="2.863278453829635E-2"/>
    <s v="Medium"/>
    <n v="1"/>
    <s v="2"/>
  </r>
  <r>
    <s v="LP001665"/>
    <x v="0"/>
    <x v="1"/>
    <x v="1"/>
    <x v="0"/>
    <x v="0"/>
    <x v="172"/>
    <n v="2583"/>
    <n v="170"/>
    <x v="0"/>
    <x v="0"/>
    <x v="2"/>
    <x v="1"/>
    <n v="5708"/>
    <x v="0"/>
    <n v="2.9782761037140854E-2"/>
    <s v="Medium"/>
    <n v="0"/>
    <s v="3"/>
  </r>
  <r>
    <s v="LP001666"/>
    <x v="0"/>
    <x v="0"/>
    <x v="0"/>
    <x v="0"/>
    <x v="0"/>
    <x v="173"/>
    <n v="3750"/>
    <n v="187"/>
    <x v="0"/>
    <x v="0"/>
    <x v="1"/>
    <x v="0"/>
    <n v="12083"/>
    <x v="2"/>
    <n v="1.5476289001075892E-2"/>
    <s v="Medium"/>
    <n v="1"/>
    <s v="2"/>
  </r>
  <r>
    <s v="LP001669"/>
    <x v="1"/>
    <x v="0"/>
    <x v="0"/>
    <x v="1"/>
    <x v="0"/>
    <x v="174"/>
    <n v="2365"/>
    <n v="120"/>
    <x v="0"/>
    <x v="0"/>
    <x v="0"/>
    <x v="0"/>
    <n v="4272"/>
    <x v="0"/>
    <n v="2.8089887640449437E-2"/>
    <s v="Medium"/>
    <n v="1"/>
    <s v="1"/>
  </r>
  <r>
    <s v="LP001671"/>
    <x v="1"/>
    <x v="1"/>
    <x v="0"/>
    <x v="0"/>
    <x v="0"/>
    <x v="175"/>
    <n v="2816"/>
    <n v="113"/>
    <x v="0"/>
    <x v="0"/>
    <x v="2"/>
    <x v="0"/>
    <n v="6232"/>
    <x v="0"/>
    <n v="1.8132220795892169E-2"/>
    <s v="Medium"/>
    <n v="1"/>
    <s v="3"/>
  </r>
  <r>
    <s v="LP001673"/>
    <x v="0"/>
    <x v="0"/>
    <x v="0"/>
    <x v="0"/>
    <x v="1"/>
    <x v="176"/>
    <n v="0"/>
    <n v="83"/>
    <x v="0"/>
    <x v="0"/>
    <x v="0"/>
    <x v="1"/>
    <n v="11000"/>
    <x v="2"/>
    <n v="7.5454545454545453E-3"/>
    <s v="Small"/>
    <n v="0"/>
    <s v="1"/>
  </r>
  <r>
    <s v="LP001674"/>
    <x v="0"/>
    <x v="1"/>
    <x v="1"/>
    <x v="1"/>
    <x v="0"/>
    <x v="19"/>
    <n v="2500"/>
    <n v="90"/>
    <x v="0"/>
    <x v="0"/>
    <x v="2"/>
    <x v="0"/>
    <n v="5100"/>
    <x v="0"/>
    <n v="1.7647058823529412E-2"/>
    <s v="Small"/>
    <n v="1"/>
    <s v="3"/>
  </r>
  <r>
    <s v="LP001677"/>
    <x v="0"/>
    <x v="0"/>
    <x v="2"/>
    <x v="0"/>
    <x v="0"/>
    <x v="177"/>
    <n v="0"/>
    <n v="166"/>
    <x v="0"/>
    <x v="1"/>
    <x v="2"/>
    <x v="0"/>
    <n v="4923"/>
    <x v="0"/>
    <n v="3.3719276863700992E-2"/>
    <s v="Medium"/>
    <n v="1"/>
    <s v="3"/>
  </r>
  <r>
    <s v="LP001682"/>
    <x v="0"/>
    <x v="1"/>
    <x v="3"/>
    <x v="1"/>
    <x v="0"/>
    <x v="178"/>
    <n v="0"/>
    <n v="0"/>
    <x v="3"/>
    <x v="0"/>
    <x v="0"/>
    <x v="1"/>
    <n v="3992"/>
    <x v="1"/>
    <n v="0"/>
    <s v="Small"/>
    <n v="0"/>
    <s v="1"/>
  </r>
  <r>
    <s v="LP001688"/>
    <x v="0"/>
    <x v="1"/>
    <x v="1"/>
    <x v="1"/>
    <x v="0"/>
    <x v="32"/>
    <n v="1083"/>
    <n v="135"/>
    <x v="0"/>
    <x v="0"/>
    <x v="0"/>
    <x v="0"/>
    <n v="4583"/>
    <x v="0"/>
    <n v="2.9456687759109753E-2"/>
    <s v="Medium"/>
    <n v="1"/>
    <s v="1"/>
  </r>
  <r>
    <s v="LP001691"/>
    <x v="0"/>
    <x v="1"/>
    <x v="2"/>
    <x v="1"/>
    <x v="0"/>
    <x v="179"/>
    <n v="0"/>
    <n v="124"/>
    <x v="0"/>
    <x v="0"/>
    <x v="2"/>
    <x v="0"/>
    <n v="3917"/>
    <x v="1"/>
    <n v="3.1656880265509321E-2"/>
    <s v="Medium"/>
    <n v="1"/>
    <s v="3"/>
  </r>
  <r>
    <s v="LP001692"/>
    <x v="1"/>
    <x v="0"/>
    <x v="0"/>
    <x v="1"/>
    <x v="0"/>
    <x v="180"/>
    <n v="0"/>
    <n v="120"/>
    <x v="0"/>
    <x v="0"/>
    <x v="2"/>
    <x v="0"/>
    <n v="4408"/>
    <x v="0"/>
    <n v="2.7223230490018149E-2"/>
    <s v="Medium"/>
    <n v="1"/>
    <s v="3"/>
  </r>
  <r>
    <s v="LP001693"/>
    <x v="1"/>
    <x v="0"/>
    <x v="0"/>
    <x v="0"/>
    <x v="0"/>
    <x v="181"/>
    <n v="0"/>
    <n v="80"/>
    <x v="0"/>
    <x v="0"/>
    <x v="0"/>
    <x v="0"/>
    <n v="3244"/>
    <x v="1"/>
    <n v="2.4660912453760789E-2"/>
    <s v="Small"/>
    <n v="1"/>
    <s v="1"/>
  </r>
  <r>
    <s v="LP001698"/>
    <x v="0"/>
    <x v="0"/>
    <x v="0"/>
    <x v="1"/>
    <x v="0"/>
    <x v="182"/>
    <n v="2531"/>
    <n v="55"/>
    <x v="0"/>
    <x v="0"/>
    <x v="1"/>
    <x v="0"/>
    <n v="6506"/>
    <x v="0"/>
    <n v="8.4537350138333845E-3"/>
    <s v="Small"/>
    <n v="1"/>
    <s v="2"/>
  </r>
  <r>
    <s v="LP001699"/>
    <x v="0"/>
    <x v="0"/>
    <x v="0"/>
    <x v="0"/>
    <x v="0"/>
    <x v="183"/>
    <n v="0"/>
    <n v="59"/>
    <x v="0"/>
    <x v="0"/>
    <x v="0"/>
    <x v="0"/>
    <n v="2479"/>
    <x v="1"/>
    <n v="2.3799919322307381E-2"/>
    <s v="Small"/>
    <n v="1"/>
    <s v="1"/>
  </r>
  <r>
    <s v="LP001702"/>
    <x v="0"/>
    <x v="0"/>
    <x v="0"/>
    <x v="0"/>
    <x v="0"/>
    <x v="184"/>
    <n v="0"/>
    <n v="127"/>
    <x v="0"/>
    <x v="0"/>
    <x v="2"/>
    <x v="1"/>
    <n v="3418"/>
    <x v="1"/>
    <n v="3.7156231714452898E-2"/>
    <s v="Medium"/>
    <n v="0"/>
    <s v="3"/>
  </r>
  <r>
    <s v="LP001708"/>
    <x v="1"/>
    <x v="0"/>
    <x v="0"/>
    <x v="0"/>
    <x v="0"/>
    <x v="130"/>
    <n v="0"/>
    <n v="214"/>
    <x v="0"/>
    <x v="0"/>
    <x v="2"/>
    <x v="1"/>
    <n v="10000"/>
    <x v="2"/>
    <n v="2.1399999999999999E-2"/>
    <s v="Large"/>
    <n v="0"/>
    <s v="3"/>
  </r>
  <r>
    <s v="LP001711"/>
    <x v="0"/>
    <x v="1"/>
    <x v="3"/>
    <x v="0"/>
    <x v="0"/>
    <x v="185"/>
    <n v="1250"/>
    <n v="128"/>
    <x v="0"/>
    <x v="1"/>
    <x v="2"/>
    <x v="1"/>
    <n v="4680"/>
    <x v="0"/>
    <n v="2.735042735042735E-2"/>
    <s v="Medium"/>
    <n v="0"/>
    <s v="3"/>
  </r>
  <r>
    <s v="LP001713"/>
    <x v="0"/>
    <x v="1"/>
    <x v="1"/>
    <x v="0"/>
    <x v="1"/>
    <x v="186"/>
    <n v="0"/>
    <n v="240"/>
    <x v="0"/>
    <x v="0"/>
    <x v="0"/>
    <x v="0"/>
    <n v="7787"/>
    <x v="0"/>
    <n v="3.0820598433286245E-2"/>
    <s v="Large"/>
    <n v="1"/>
    <s v="1"/>
  </r>
  <r>
    <s v="LP001715"/>
    <x v="0"/>
    <x v="1"/>
    <x v="3"/>
    <x v="1"/>
    <x v="1"/>
    <x v="187"/>
    <n v="0"/>
    <n v="130"/>
    <x v="0"/>
    <x v="0"/>
    <x v="1"/>
    <x v="0"/>
    <n v="5703"/>
    <x v="0"/>
    <n v="2.2795020164825531E-2"/>
    <s v="Medium"/>
    <n v="1"/>
    <s v="2"/>
  </r>
  <r>
    <s v="LP001716"/>
    <x v="0"/>
    <x v="1"/>
    <x v="0"/>
    <x v="0"/>
    <x v="0"/>
    <x v="188"/>
    <n v="3021"/>
    <n v="137"/>
    <x v="0"/>
    <x v="0"/>
    <x v="0"/>
    <x v="0"/>
    <n v="6194"/>
    <x v="0"/>
    <n v="2.2118178882789795E-2"/>
    <s v="Medium"/>
    <n v="1"/>
    <s v="1"/>
  </r>
  <r>
    <s v="LP001720"/>
    <x v="0"/>
    <x v="1"/>
    <x v="3"/>
    <x v="1"/>
    <x v="0"/>
    <x v="189"/>
    <n v="983"/>
    <n v="100"/>
    <x v="0"/>
    <x v="0"/>
    <x v="2"/>
    <x v="0"/>
    <n v="4833"/>
    <x v="0"/>
    <n v="2.069108214359611E-2"/>
    <s v="Medium"/>
    <n v="1"/>
    <s v="3"/>
  </r>
  <r>
    <s v="LP001722"/>
    <x v="0"/>
    <x v="1"/>
    <x v="0"/>
    <x v="0"/>
    <x v="0"/>
    <x v="190"/>
    <n v="1800"/>
    <n v="135"/>
    <x v="0"/>
    <x v="0"/>
    <x v="1"/>
    <x v="1"/>
    <n v="1950"/>
    <x v="1"/>
    <n v="6.9230769230769235E-2"/>
    <s v="Medium"/>
    <n v="0"/>
    <s v="2"/>
  </r>
  <r>
    <s v="LP001726"/>
    <x v="0"/>
    <x v="1"/>
    <x v="0"/>
    <x v="0"/>
    <x v="0"/>
    <x v="191"/>
    <n v="1775"/>
    <n v="131"/>
    <x v="0"/>
    <x v="0"/>
    <x v="2"/>
    <x v="0"/>
    <n v="5502"/>
    <x v="0"/>
    <n v="2.3809523809523808E-2"/>
    <s v="Medium"/>
    <n v="1"/>
    <s v="3"/>
  </r>
  <r>
    <s v="LP001732"/>
    <x v="0"/>
    <x v="1"/>
    <x v="2"/>
    <x v="0"/>
    <x v="0"/>
    <x v="192"/>
    <n v="0"/>
    <n v="72"/>
    <x v="0"/>
    <x v="1"/>
    <x v="2"/>
    <x v="1"/>
    <n v="5000"/>
    <x v="0"/>
    <n v="1.44E-2"/>
    <s v="Small"/>
    <n v="0"/>
    <s v="3"/>
  </r>
  <r>
    <s v="LP001734"/>
    <x v="1"/>
    <x v="1"/>
    <x v="2"/>
    <x v="0"/>
    <x v="0"/>
    <x v="193"/>
    <n v="2383"/>
    <n v="127"/>
    <x v="0"/>
    <x v="0"/>
    <x v="2"/>
    <x v="0"/>
    <n v="6666"/>
    <x v="0"/>
    <n v="1.9051905190519053E-2"/>
    <s v="Medium"/>
    <n v="1"/>
    <s v="3"/>
  </r>
  <r>
    <s v="LP001736"/>
    <x v="0"/>
    <x v="1"/>
    <x v="0"/>
    <x v="0"/>
    <x v="0"/>
    <x v="194"/>
    <n v="0"/>
    <n v="60"/>
    <x v="0"/>
    <x v="1"/>
    <x v="0"/>
    <x v="1"/>
    <n v="2221"/>
    <x v="1"/>
    <n v="2.7014858171994598E-2"/>
    <s v="Small"/>
    <n v="0"/>
    <s v="1"/>
  </r>
  <r>
    <s v="LP001743"/>
    <x v="0"/>
    <x v="1"/>
    <x v="2"/>
    <x v="0"/>
    <x v="0"/>
    <x v="195"/>
    <n v="1717"/>
    <n v="116"/>
    <x v="0"/>
    <x v="0"/>
    <x v="2"/>
    <x v="0"/>
    <n v="5726"/>
    <x v="0"/>
    <n v="2.0258470136220747E-2"/>
    <s v="Medium"/>
    <n v="1"/>
    <s v="3"/>
  </r>
  <r>
    <s v="LP001744"/>
    <x v="0"/>
    <x v="0"/>
    <x v="0"/>
    <x v="0"/>
    <x v="0"/>
    <x v="196"/>
    <n v="2791"/>
    <n v="144"/>
    <x v="0"/>
    <x v="0"/>
    <x v="2"/>
    <x v="0"/>
    <n v="5762"/>
    <x v="0"/>
    <n v="2.4991322457480043E-2"/>
    <s v="Medium"/>
    <n v="1"/>
    <s v="3"/>
  </r>
  <r>
    <s v="LP001749"/>
    <x v="0"/>
    <x v="1"/>
    <x v="0"/>
    <x v="0"/>
    <x v="0"/>
    <x v="197"/>
    <n v="1010"/>
    <n v="175"/>
    <x v="0"/>
    <x v="0"/>
    <x v="2"/>
    <x v="0"/>
    <n v="8588"/>
    <x v="2"/>
    <n v="2.0377270610153701E-2"/>
    <s v="Medium"/>
    <n v="1"/>
    <s v="3"/>
  </r>
  <r>
    <s v="LP001750"/>
    <x v="0"/>
    <x v="1"/>
    <x v="0"/>
    <x v="0"/>
    <x v="0"/>
    <x v="79"/>
    <n v="0"/>
    <n v="128"/>
    <x v="0"/>
    <x v="0"/>
    <x v="2"/>
    <x v="0"/>
    <n v="6250"/>
    <x v="0"/>
    <n v="2.0480000000000002E-2"/>
    <s v="Medium"/>
    <n v="1"/>
    <s v="3"/>
  </r>
  <r>
    <s v="LP001751"/>
    <x v="0"/>
    <x v="1"/>
    <x v="0"/>
    <x v="0"/>
    <x v="0"/>
    <x v="198"/>
    <n v="0"/>
    <n v="170"/>
    <x v="0"/>
    <x v="0"/>
    <x v="1"/>
    <x v="1"/>
    <n v="3250"/>
    <x v="1"/>
    <n v="5.2307692307692305E-2"/>
    <s v="Medium"/>
    <n v="0"/>
    <s v="2"/>
  </r>
  <r>
    <s v="LP001754"/>
    <x v="0"/>
    <x v="1"/>
    <x v="0"/>
    <x v="1"/>
    <x v="1"/>
    <x v="199"/>
    <n v="0"/>
    <n v="138"/>
    <x v="0"/>
    <x v="0"/>
    <x v="0"/>
    <x v="1"/>
    <n v="4735"/>
    <x v="0"/>
    <n v="2.9144667370644139E-2"/>
    <s v="Medium"/>
    <n v="0"/>
    <s v="1"/>
  </r>
  <r>
    <s v="LP001758"/>
    <x v="0"/>
    <x v="1"/>
    <x v="2"/>
    <x v="0"/>
    <x v="0"/>
    <x v="79"/>
    <n v="1695"/>
    <n v="210"/>
    <x v="0"/>
    <x v="0"/>
    <x v="2"/>
    <x v="0"/>
    <n v="7945"/>
    <x v="0"/>
    <n v="2.643171806167401E-2"/>
    <s v="Large"/>
    <n v="1"/>
    <s v="3"/>
  </r>
  <r>
    <s v="LP001760"/>
    <x v="0"/>
    <x v="1"/>
    <x v="0"/>
    <x v="0"/>
    <x v="0"/>
    <x v="200"/>
    <n v="0"/>
    <n v="158"/>
    <x v="6"/>
    <x v="0"/>
    <x v="2"/>
    <x v="0"/>
    <n v="4758"/>
    <x v="0"/>
    <n v="3.3207229928541401E-2"/>
    <s v="Medium"/>
    <n v="1"/>
    <s v="3"/>
  </r>
  <r>
    <s v="LP001761"/>
    <x v="0"/>
    <x v="0"/>
    <x v="0"/>
    <x v="0"/>
    <x v="1"/>
    <x v="157"/>
    <n v="0"/>
    <n v="200"/>
    <x v="0"/>
    <x v="0"/>
    <x v="1"/>
    <x v="0"/>
    <n v="6400"/>
    <x v="0"/>
    <n v="3.125E-2"/>
    <s v="Large"/>
    <n v="1"/>
    <s v="2"/>
  </r>
  <r>
    <s v="LP001765"/>
    <x v="0"/>
    <x v="1"/>
    <x v="1"/>
    <x v="0"/>
    <x v="0"/>
    <x v="201"/>
    <n v="2054"/>
    <n v="104"/>
    <x v="0"/>
    <x v="0"/>
    <x v="2"/>
    <x v="0"/>
    <n v="4545"/>
    <x v="0"/>
    <n v="2.2882288228822881E-2"/>
    <s v="Medium"/>
    <n v="1"/>
    <s v="3"/>
  </r>
  <r>
    <s v="LP001768"/>
    <x v="0"/>
    <x v="1"/>
    <x v="0"/>
    <x v="0"/>
    <x v="0"/>
    <x v="202"/>
    <n v="0"/>
    <n v="42"/>
    <x v="3"/>
    <x v="0"/>
    <x v="1"/>
    <x v="0"/>
    <n v="3716"/>
    <x v="1"/>
    <n v="1.1302475780409042E-2"/>
    <s v="Small"/>
    <n v="1"/>
    <s v="2"/>
  </r>
  <r>
    <s v="LP001770"/>
    <x v="0"/>
    <x v="0"/>
    <x v="0"/>
    <x v="1"/>
    <x v="0"/>
    <x v="203"/>
    <n v="2598"/>
    <n v="120"/>
    <x v="0"/>
    <x v="0"/>
    <x v="1"/>
    <x v="0"/>
    <n v="5787"/>
    <x v="0"/>
    <n v="2.0736132711249352E-2"/>
    <s v="Medium"/>
    <n v="1"/>
    <s v="2"/>
  </r>
  <r>
    <s v="LP001776"/>
    <x v="1"/>
    <x v="0"/>
    <x v="0"/>
    <x v="0"/>
    <x v="0"/>
    <x v="173"/>
    <n v="0"/>
    <n v="280"/>
    <x v="0"/>
    <x v="0"/>
    <x v="2"/>
    <x v="0"/>
    <n v="8333"/>
    <x v="2"/>
    <n v="3.3601344053762153E-2"/>
    <s v="Large"/>
    <n v="1"/>
    <s v="3"/>
  </r>
  <r>
    <s v="LP001778"/>
    <x v="0"/>
    <x v="1"/>
    <x v="1"/>
    <x v="0"/>
    <x v="0"/>
    <x v="204"/>
    <n v="1779"/>
    <n v="140"/>
    <x v="0"/>
    <x v="0"/>
    <x v="2"/>
    <x v="0"/>
    <n v="4934"/>
    <x v="0"/>
    <n v="2.837454398054317E-2"/>
    <s v="Medium"/>
    <n v="1"/>
    <s v="3"/>
  </r>
  <r>
    <s v="LP001784"/>
    <x v="0"/>
    <x v="1"/>
    <x v="1"/>
    <x v="0"/>
    <x v="0"/>
    <x v="205"/>
    <n v="1260"/>
    <n v="170"/>
    <x v="0"/>
    <x v="0"/>
    <x v="1"/>
    <x v="0"/>
    <n v="6760"/>
    <x v="0"/>
    <n v="2.514792899408284E-2"/>
    <s v="Medium"/>
    <n v="1"/>
    <s v="2"/>
  </r>
  <r>
    <s v="LP001786"/>
    <x v="0"/>
    <x v="1"/>
    <x v="0"/>
    <x v="0"/>
    <x v="0"/>
    <x v="206"/>
    <n v="0"/>
    <n v="255"/>
    <x v="0"/>
    <x v="0"/>
    <x v="0"/>
    <x v="1"/>
    <n v="5746"/>
    <x v="0"/>
    <n v="4.4378698224852069E-2"/>
    <s v="Large"/>
    <n v="0"/>
    <s v="1"/>
  </r>
  <r>
    <s v="LP001788"/>
    <x v="1"/>
    <x v="0"/>
    <x v="0"/>
    <x v="0"/>
    <x v="1"/>
    <x v="207"/>
    <n v="0"/>
    <n v="122"/>
    <x v="0"/>
    <x v="0"/>
    <x v="0"/>
    <x v="0"/>
    <n v="3463"/>
    <x v="1"/>
    <n v="3.5229569737222063E-2"/>
    <s v="Medium"/>
    <n v="1"/>
    <s v="1"/>
  </r>
  <r>
    <s v="LP001790"/>
    <x v="1"/>
    <x v="0"/>
    <x v="1"/>
    <x v="0"/>
    <x v="0"/>
    <x v="208"/>
    <n v="0"/>
    <n v="112"/>
    <x v="0"/>
    <x v="0"/>
    <x v="1"/>
    <x v="0"/>
    <n v="3812"/>
    <x v="1"/>
    <n v="2.9380902413431269E-2"/>
    <s v="Medium"/>
    <n v="1"/>
    <s v="2"/>
  </r>
  <r>
    <s v="LP001792"/>
    <x v="0"/>
    <x v="1"/>
    <x v="1"/>
    <x v="0"/>
    <x v="0"/>
    <x v="209"/>
    <n v="0"/>
    <n v="96"/>
    <x v="0"/>
    <x v="0"/>
    <x v="2"/>
    <x v="0"/>
    <n v="3315"/>
    <x v="1"/>
    <n v="2.8959276018099549E-2"/>
    <s v="Small"/>
    <n v="1"/>
    <s v="3"/>
  </r>
  <r>
    <s v="LP001798"/>
    <x v="0"/>
    <x v="1"/>
    <x v="2"/>
    <x v="0"/>
    <x v="0"/>
    <x v="210"/>
    <n v="5000"/>
    <n v="120"/>
    <x v="0"/>
    <x v="0"/>
    <x v="1"/>
    <x v="0"/>
    <n v="10819"/>
    <x v="2"/>
    <n v="1.109159811442832E-2"/>
    <s v="Medium"/>
    <n v="1"/>
    <s v="2"/>
  </r>
  <r>
    <s v="LP001800"/>
    <x v="0"/>
    <x v="1"/>
    <x v="1"/>
    <x v="1"/>
    <x v="0"/>
    <x v="211"/>
    <n v="1983"/>
    <n v="140"/>
    <x v="3"/>
    <x v="0"/>
    <x v="0"/>
    <x v="1"/>
    <n v="4493"/>
    <x v="0"/>
    <n v="3.1159581571333184E-2"/>
    <s v="Medium"/>
    <n v="0"/>
    <s v="1"/>
  </r>
  <r>
    <s v="LP001806"/>
    <x v="0"/>
    <x v="0"/>
    <x v="0"/>
    <x v="0"/>
    <x v="0"/>
    <x v="212"/>
    <n v="5701"/>
    <n v="155"/>
    <x v="4"/>
    <x v="0"/>
    <x v="0"/>
    <x v="0"/>
    <n v="8666"/>
    <x v="2"/>
    <n v="1.7885991230094624E-2"/>
    <s v="Medium"/>
    <n v="1"/>
    <s v="1"/>
  </r>
  <r>
    <s v="LP001807"/>
    <x v="0"/>
    <x v="1"/>
    <x v="2"/>
    <x v="0"/>
    <x v="1"/>
    <x v="79"/>
    <n v="1300"/>
    <n v="108"/>
    <x v="0"/>
    <x v="0"/>
    <x v="1"/>
    <x v="0"/>
    <n v="7550"/>
    <x v="0"/>
    <n v="1.4304635761589404E-2"/>
    <s v="Medium"/>
    <n v="1"/>
    <s v="2"/>
  </r>
  <r>
    <s v="LP001811"/>
    <x v="0"/>
    <x v="1"/>
    <x v="0"/>
    <x v="1"/>
    <x v="0"/>
    <x v="213"/>
    <n v="4417"/>
    <n v="123"/>
    <x v="0"/>
    <x v="0"/>
    <x v="2"/>
    <x v="0"/>
    <n v="7823"/>
    <x v="0"/>
    <n v="1.5722868464783331E-2"/>
    <s v="Medium"/>
    <n v="1"/>
    <s v="3"/>
  </r>
  <r>
    <s v="LP001813"/>
    <x v="0"/>
    <x v="0"/>
    <x v="0"/>
    <x v="0"/>
    <x v="1"/>
    <x v="214"/>
    <n v="4333"/>
    <n v="120"/>
    <x v="3"/>
    <x v="0"/>
    <x v="0"/>
    <x v="1"/>
    <n v="10383"/>
    <x v="2"/>
    <n v="1.1557353366079168E-2"/>
    <s v="Medium"/>
    <n v="0"/>
    <s v="1"/>
  </r>
  <r>
    <s v="LP001814"/>
    <x v="0"/>
    <x v="1"/>
    <x v="2"/>
    <x v="0"/>
    <x v="0"/>
    <x v="215"/>
    <n v="0"/>
    <n v="112"/>
    <x v="0"/>
    <x v="0"/>
    <x v="0"/>
    <x v="0"/>
    <n v="9703"/>
    <x v="2"/>
    <n v="1.1542821807688343E-2"/>
    <s v="Medium"/>
    <n v="1"/>
    <s v="1"/>
  </r>
  <r>
    <s v="LP001819"/>
    <x v="0"/>
    <x v="1"/>
    <x v="1"/>
    <x v="1"/>
    <x v="0"/>
    <x v="216"/>
    <n v="0"/>
    <n v="137"/>
    <x v="3"/>
    <x v="0"/>
    <x v="0"/>
    <x v="0"/>
    <n v="6608"/>
    <x v="0"/>
    <n v="2.0732445520581115E-2"/>
    <s v="Medium"/>
    <n v="1"/>
    <s v="1"/>
  </r>
  <r>
    <s v="LP001824"/>
    <x v="0"/>
    <x v="1"/>
    <x v="1"/>
    <x v="0"/>
    <x v="0"/>
    <x v="217"/>
    <n v="1843"/>
    <n v="123"/>
    <x v="6"/>
    <x v="0"/>
    <x v="2"/>
    <x v="0"/>
    <n v="4725"/>
    <x v="0"/>
    <n v="2.6031746031746031E-2"/>
    <s v="Medium"/>
    <n v="1"/>
    <s v="3"/>
  </r>
  <r>
    <s v="LP001825"/>
    <x v="0"/>
    <x v="1"/>
    <x v="0"/>
    <x v="0"/>
    <x v="0"/>
    <x v="218"/>
    <n v="1868"/>
    <n v="90"/>
    <x v="0"/>
    <x v="0"/>
    <x v="0"/>
    <x v="0"/>
    <n v="3677"/>
    <x v="1"/>
    <n v="2.4476475387544192E-2"/>
    <s v="Small"/>
    <n v="1"/>
    <s v="1"/>
  </r>
  <r>
    <s v="LP001835"/>
    <x v="0"/>
    <x v="1"/>
    <x v="0"/>
    <x v="1"/>
    <x v="0"/>
    <x v="219"/>
    <n v="3890"/>
    <n v="201"/>
    <x v="0"/>
    <x v="1"/>
    <x v="2"/>
    <x v="1"/>
    <n v="5558"/>
    <x v="0"/>
    <n v="3.6164087801367401E-2"/>
    <s v="Large"/>
    <n v="0"/>
    <s v="3"/>
  </r>
  <r>
    <s v="LP001836"/>
    <x v="1"/>
    <x v="0"/>
    <x v="2"/>
    <x v="0"/>
    <x v="0"/>
    <x v="220"/>
    <n v="0"/>
    <n v="138"/>
    <x v="0"/>
    <x v="0"/>
    <x v="0"/>
    <x v="1"/>
    <n v="3427"/>
    <x v="1"/>
    <n v="4.0268456375838924E-2"/>
    <s v="Medium"/>
    <n v="0"/>
    <s v="1"/>
  </r>
  <r>
    <s v="LP001841"/>
    <x v="0"/>
    <x v="0"/>
    <x v="0"/>
    <x v="1"/>
    <x v="1"/>
    <x v="3"/>
    <n v="2167"/>
    <n v="104"/>
    <x v="0"/>
    <x v="0"/>
    <x v="1"/>
    <x v="0"/>
    <n v="4750"/>
    <x v="0"/>
    <n v="2.1894736842105262E-2"/>
    <s v="Medium"/>
    <n v="1"/>
    <s v="2"/>
  </r>
  <r>
    <s v="LP001843"/>
    <x v="0"/>
    <x v="1"/>
    <x v="1"/>
    <x v="1"/>
    <x v="0"/>
    <x v="221"/>
    <n v="7101"/>
    <n v="279"/>
    <x v="3"/>
    <x v="0"/>
    <x v="2"/>
    <x v="0"/>
    <n v="9762"/>
    <x v="2"/>
    <n v="2.858020897357099E-2"/>
    <s v="Large"/>
    <n v="1"/>
    <s v="3"/>
  </r>
  <r>
    <s v="LP001844"/>
    <x v="0"/>
    <x v="0"/>
    <x v="0"/>
    <x v="0"/>
    <x v="1"/>
    <x v="222"/>
    <n v="0"/>
    <n v="192"/>
    <x v="0"/>
    <x v="1"/>
    <x v="0"/>
    <x v="1"/>
    <n v="16250"/>
    <x v="2"/>
    <n v="1.1815384615384615E-2"/>
    <s v="Medium"/>
    <n v="0"/>
    <s v="1"/>
  </r>
  <r>
    <s v="LP001846"/>
    <x v="1"/>
    <x v="0"/>
    <x v="3"/>
    <x v="0"/>
    <x v="0"/>
    <x v="223"/>
    <n v="0"/>
    <n v="255"/>
    <x v="0"/>
    <x v="0"/>
    <x v="1"/>
    <x v="0"/>
    <n v="3083"/>
    <x v="1"/>
    <n v="8.2711644502108342E-2"/>
    <s v="Large"/>
    <n v="1"/>
    <s v="2"/>
  </r>
  <r>
    <s v="LP001849"/>
    <x v="0"/>
    <x v="0"/>
    <x v="0"/>
    <x v="1"/>
    <x v="0"/>
    <x v="224"/>
    <n v="0"/>
    <n v="115"/>
    <x v="0"/>
    <x v="1"/>
    <x v="1"/>
    <x v="1"/>
    <n v="6045"/>
    <x v="0"/>
    <n v="1.9023986765922249E-2"/>
    <s v="Medium"/>
    <n v="0"/>
    <s v="2"/>
  </r>
  <r>
    <s v="LP001854"/>
    <x v="0"/>
    <x v="1"/>
    <x v="3"/>
    <x v="0"/>
    <x v="0"/>
    <x v="225"/>
    <n v="0"/>
    <n v="94"/>
    <x v="0"/>
    <x v="0"/>
    <x v="0"/>
    <x v="1"/>
    <n v="5250"/>
    <x v="0"/>
    <n v="1.7904761904761906E-2"/>
    <s v="Small"/>
    <n v="0"/>
    <s v="1"/>
  </r>
  <r>
    <s v="LP001859"/>
    <x v="0"/>
    <x v="1"/>
    <x v="0"/>
    <x v="0"/>
    <x v="0"/>
    <x v="226"/>
    <n v="2100"/>
    <n v="304"/>
    <x v="0"/>
    <x v="0"/>
    <x v="1"/>
    <x v="1"/>
    <n v="16783"/>
    <x v="2"/>
    <n v="1.8113567300244295E-2"/>
    <s v="Large"/>
    <n v="0"/>
    <s v="2"/>
  </r>
  <r>
    <s v="LP001864"/>
    <x v="0"/>
    <x v="1"/>
    <x v="3"/>
    <x v="1"/>
    <x v="0"/>
    <x v="227"/>
    <n v="0"/>
    <n v="128"/>
    <x v="0"/>
    <x v="0"/>
    <x v="2"/>
    <x v="1"/>
    <n v="4931"/>
    <x v="0"/>
    <n v="2.595822348408031E-2"/>
    <s v="Medium"/>
    <n v="0"/>
    <s v="3"/>
  </r>
  <r>
    <s v="LP001865"/>
    <x v="0"/>
    <x v="1"/>
    <x v="1"/>
    <x v="0"/>
    <x v="0"/>
    <x v="228"/>
    <n v="4250"/>
    <n v="330"/>
    <x v="0"/>
    <x v="0"/>
    <x v="0"/>
    <x v="0"/>
    <n v="10333"/>
    <x v="2"/>
    <n v="3.193651408109939E-2"/>
    <s v="Large"/>
    <n v="1"/>
    <s v="1"/>
  </r>
  <r>
    <s v="LP001868"/>
    <x v="0"/>
    <x v="0"/>
    <x v="0"/>
    <x v="0"/>
    <x v="0"/>
    <x v="229"/>
    <n v="2209"/>
    <n v="134"/>
    <x v="0"/>
    <x v="0"/>
    <x v="2"/>
    <x v="0"/>
    <n v="4269"/>
    <x v="0"/>
    <n v="3.1389084094635748E-2"/>
    <s v="Medium"/>
    <n v="1"/>
    <s v="3"/>
  </r>
  <r>
    <s v="LP001870"/>
    <x v="1"/>
    <x v="0"/>
    <x v="1"/>
    <x v="0"/>
    <x v="0"/>
    <x v="230"/>
    <n v="0"/>
    <n v="155"/>
    <x v="7"/>
    <x v="0"/>
    <x v="2"/>
    <x v="1"/>
    <n v="3481"/>
    <x v="1"/>
    <n v="4.4527434645216891E-2"/>
    <s v="Medium"/>
    <n v="0"/>
    <s v="3"/>
  </r>
  <r>
    <s v="LP001871"/>
    <x v="1"/>
    <x v="0"/>
    <x v="0"/>
    <x v="0"/>
    <x v="0"/>
    <x v="231"/>
    <n v="0"/>
    <n v="120"/>
    <x v="0"/>
    <x v="0"/>
    <x v="1"/>
    <x v="0"/>
    <n v="7200"/>
    <x v="0"/>
    <n v="1.6666666666666666E-2"/>
    <s v="Medium"/>
    <n v="1"/>
    <s v="2"/>
  </r>
  <r>
    <s v="LP001872"/>
    <x v="0"/>
    <x v="0"/>
    <x v="0"/>
    <x v="0"/>
    <x v="1"/>
    <x v="232"/>
    <n v="0"/>
    <n v="128"/>
    <x v="0"/>
    <x v="0"/>
    <x v="2"/>
    <x v="0"/>
    <n v="5166"/>
    <x v="0"/>
    <n v="2.4777390631049168E-2"/>
    <s v="Medium"/>
    <n v="1"/>
    <s v="3"/>
  </r>
  <r>
    <s v="LP001875"/>
    <x v="0"/>
    <x v="0"/>
    <x v="0"/>
    <x v="0"/>
    <x v="0"/>
    <x v="233"/>
    <n v="3447"/>
    <n v="151"/>
    <x v="0"/>
    <x v="0"/>
    <x v="1"/>
    <x v="0"/>
    <n v="7542"/>
    <x v="0"/>
    <n v="2.0021214531954389E-2"/>
    <s v="Medium"/>
    <n v="1"/>
    <s v="2"/>
  </r>
  <r>
    <s v="LP001877"/>
    <x v="0"/>
    <x v="1"/>
    <x v="2"/>
    <x v="0"/>
    <x v="0"/>
    <x v="234"/>
    <n v="1387"/>
    <n v="150"/>
    <x v="0"/>
    <x v="0"/>
    <x v="2"/>
    <x v="0"/>
    <n v="6095"/>
    <x v="0"/>
    <n v="2.461033634126333E-2"/>
    <s v="Medium"/>
    <n v="1"/>
    <s v="3"/>
  </r>
  <r>
    <s v="LP001882"/>
    <x v="0"/>
    <x v="1"/>
    <x v="3"/>
    <x v="0"/>
    <x v="0"/>
    <x v="235"/>
    <n v="1811"/>
    <n v="160"/>
    <x v="0"/>
    <x v="1"/>
    <x v="0"/>
    <x v="0"/>
    <n v="6144"/>
    <x v="0"/>
    <n v="2.6041666666666668E-2"/>
    <s v="Medium"/>
    <n v="1"/>
    <s v="1"/>
  </r>
  <r>
    <s v="LP001883"/>
    <x v="1"/>
    <x v="0"/>
    <x v="0"/>
    <x v="0"/>
    <x v="0"/>
    <x v="184"/>
    <n v="0"/>
    <n v="135"/>
    <x v="0"/>
    <x v="0"/>
    <x v="1"/>
    <x v="1"/>
    <n v="3418"/>
    <x v="1"/>
    <n v="3.9496781743709769E-2"/>
    <s v="Medium"/>
    <n v="0"/>
    <s v="2"/>
  </r>
  <r>
    <s v="LP001884"/>
    <x v="1"/>
    <x v="0"/>
    <x v="1"/>
    <x v="0"/>
    <x v="0"/>
    <x v="236"/>
    <n v="1560"/>
    <n v="90"/>
    <x v="0"/>
    <x v="0"/>
    <x v="0"/>
    <x v="0"/>
    <n v="4436"/>
    <x v="0"/>
    <n v="2.0288548241659151E-2"/>
    <s v="Small"/>
    <n v="1"/>
    <s v="1"/>
  </r>
  <r>
    <s v="LP001888"/>
    <x v="1"/>
    <x v="0"/>
    <x v="0"/>
    <x v="0"/>
    <x v="0"/>
    <x v="237"/>
    <n v="0"/>
    <n v="30"/>
    <x v="0"/>
    <x v="0"/>
    <x v="0"/>
    <x v="0"/>
    <n v="3237"/>
    <x v="1"/>
    <n v="9.2678405931417972E-3"/>
    <s v="Small"/>
    <n v="1"/>
    <s v="1"/>
  </r>
  <r>
    <s v="LP001891"/>
    <x v="0"/>
    <x v="1"/>
    <x v="0"/>
    <x v="0"/>
    <x v="0"/>
    <x v="238"/>
    <n v="0"/>
    <n v="136"/>
    <x v="0"/>
    <x v="0"/>
    <x v="0"/>
    <x v="0"/>
    <n v="11146"/>
    <x v="2"/>
    <n v="1.2201686703750225E-2"/>
    <s v="Medium"/>
    <n v="1"/>
    <s v="1"/>
  </r>
  <r>
    <s v="LP001892"/>
    <x v="0"/>
    <x v="0"/>
    <x v="0"/>
    <x v="0"/>
    <x v="0"/>
    <x v="239"/>
    <n v="1857"/>
    <n v="126"/>
    <x v="0"/>
    <x v="0"/>
    <x v="1"/>
    <x v="0"/>
    <n v="4690"/>
    <x v="0"/>
    <n v="2.6865671641791045E-2"/>
    <s v="Medium"/>
    <n v="1"/>
    <s v="2"/>
  </r>
  <r>
    <s v="LP001894"/>
    <x v="0"/>
    <x v="1"/>
    <x v="0"/>
    <x v="0"/>
    <x v="0"/>
    <x v="240"/>
    <n v="2223"/>
    <n v="150"/>
    <x v="0"/>
    <x v="0"/>
    <x v="2"/>
    <x v="0"/>
    <n v="4843"/>
    <x v="0"/>
    <n v="3.097253768325418E-2"/>
    <s v="Medium"/>
    <n v="1"/>
    <s v="3"/>
  </r>
  <r>
    <s v="LP001896"/>
    <x v="0"/>
    <x v="1"/>
    <x v="2"/>
    <x v="0"/>
    <x v="0"/>
    <x v="241"/>
    <n v="0"/>
    <n v="90"/>
    <x v="0"/>
    <x v="0"/>
    <x v="2"/>
    <x v="0"/>
    <n v="3900"/>
    <x v="1"/>
    <n v="2.3076923076923078E-2"/>
    <s v="Small"/>
    <n v="1"/>
    <s v="3"/>
  </r>
  <r>
    <s v="LP001900"/>
    <x v="0"/>
    <x v="1"/>
    <x v="1"/>
    <x v="0"/>
    <x v="0"/>
    <x v="242"/>
    <n v="1842"/>
    <n v="115"/>
    <x v="0"/>
    <x v="0"/>
    <x v="2"/>
    <x v="0"/>
    <n v="4592"/>
    <x v="0"/>
    <n v="2.504355400696864E-2"/>
    <s v="Medium"/>
    <n v="1"/>
    <s v="3"/>
  </r>
  <r>
    <s v="LP001903"/>
    <x v="0"/>
    <x v="1"/>
    <x v="0"/>
    <x v="0"/>
    <x v="0"/>
    <x v="243"/>
    <n v="3274"/>
    <n v="207"/>
    <x v="0"/>
    <x v="0"/>
    <x v="2"/>
    <x v="0"/>
    <n v="7267"/>
    <x v="0"/>
    <n v="2.848493188385854E-2"/>
    <s v="Large"/>
    <n v="1"/>
    <s v="3"/>
  </r>
  <r>
    <s v="LP001904"/>
    <x v="0"/>
    <x v="1"/>
    <x v="0"/>
    <x v="0"/>
    <x v="0"/>
    <x v="244"/>
    <n v="1300"/>
    <n v="80"/>
    <x v="0"/>
    <x v="0"/>
    <x v="0"/>
    <x v="0"/>
    <n v="4403"/>
    <x v="0"/>
    <n v="1.8169429934135818E-2"/>
    <s v="Small"/>
    <n v="1"/>
    <s v="1"/>
  </r>
  <r>
    <s v="LP001907"/>
    <x v="0"/>
    <x v="1"/>
    <x v="0"/>
    <x v="0"/>
    <x v="0"/>
    <x v="103"/>
    <n v="0"/>
    <n v="436"/>
    <x v="0"/>
    <x v="0"/>
    <x v="2"/>
    <x v="0"/>
    <n v="14583"/>
    <x v="2"/>
    <n v="2.9897826236028251E-2"/>
    <s v="Large"/>
    <n v="1"/>
    <s v="3"/>
  </r>
  <r>
    <s v="LP001908"/>
    <x v="1"/>
    <x v="1"/>
    <x v="0"/>
    <x v="1"/>
    <x v="0"/>
    <x v="245"/>
    <n v="0"/>
    <n v="124"/>
    <x v="0"/>
    <x v="0"/>
    <x v="1"/>
    <x v="0"/>
    <n v="4100"/>
    <x v="0"/>
    <n v="3.0243902439024389E-2"/>
    <s v="Medium"/>
    <n v="1"/>
    <s v="2"/>
  </r>
  <r>
    <s v="LP001910"/>
    <x v="0"/>
    <x v="0"/>
    <x v="1"/>
    <x v="1"/>
    <x v="1"/>
    <x v="246"/>
    <n v="2426"/>
    <n v="158"/>
    <x v="0"/>
    <x v="1"/>
    <x v="0"/>
    <x v="1"/>
    <n v="6479"/>
    <x v="0"/>
    <n v="2.4386479394968359E-2"/>
    <s v="Medium"/>
    <n v="0"/>
    <s v="1"/>
  </r>
  <r>
    <s v="LP001914"/>
    <x v="0"/>
    <x v="1"/>
    <x v="0"/>
    <x v="0"/>
    <x v="0"/>
    <x v="247"/>
    <n v="800"/>
    <n v="112"/>
    <x v="0"/>
    <x v="0"/>
    <x v="2"/>
    <x v="0"/>
    <n v="4727"/>
    <x v="0"/>
    <n v="2.3693674635075102E-2"/>
    <s v="Medium"/>
    <n v="1"/>
    <s v="3"/>
  </r>
  <r>
    <s v="LP001915"/>
    <x v="0"/>
    <x v="1"/>
    <x v="2"/>
    <x v="0"/>
    <x v="0"/>
    <x v="248"/>
    <n v="985.79998780000005"/>
    <n v="78"/>
    <x v="3"/>
    <x v="0"/>
    <x v="0"/>
    <x v="0"/>
    <n v="3286.7999878000001"/>
    <x v="1"/>
    <n v="2.3731288879615956E-2"/>
    <s v="Small"/>
    <n v="1"/>
    <s v="1"/>
  </r>
  <r>
    <s v="LP001917"/>
    <x v="1"/>
    <x v="0"/>
    <x v="0"/>
    <x v="0"/>
    <x v="0"/>
    <x v="249"/>
    <n v="1666"/>
    <n v="54"/>
    <x v="0"/>
    <x v="0"/>
    <x v="0"/>
    <x v="0"/>
    <n v="3477"/>
    <x v="1"/>
    <n v="1.5530629853321829E-2"/>
    <s v="Small"/>
    <n v="1"/>
    <s v="1"/>
  </r>
  <r>
    <s v="LP001922"/>
    <x v="0"/>
    <x v="1"/>
    <x v="0"/>
    <x v="0"/>
    <x v="0"/>
    <x v="250"/>
    <n v="0"/>
    <n v="0"/>
    <x v="0"/>
    <x v="0"/>
    <x v="1"/>
    <x v="1"/>
    <n v="20667"/>
    <x v="2"/>
    <n v="0"/>
    <s v="Small"/>
    <n v="0"/>
    <s v="2"/>
  </r>
  <r>
    <s v="LP001924"/>
    <x v="0"/>
    <x v="0"/>
    <x v="0"/>
    <x v="0"/>
    <x v="0"/>
    <x v="251"/>
    <n v="3053"/>
    <n v="89"/>
    <x v="0"/>
    <x v="0"/>
    <x v="1"/>
    <x v="0"/>
    <n v="6211"/>
    <x v="0"/>
    <n v="1.4329415553051039E-2"/>
    <s v="Small"/>
    <n v="1"/>
    <s v="2"/>
  </r>
  <r>
    <s v="LP001925"/>
    <x v="1"/>
    <x v="0"/>
    <x v="0"/>
    <x v="0"/>
    <x v="1"/>
    <x v="19"/>
    <n v="1717"/>
    <n v="99"/>
    <x v="5"/>
    <x v="0"/>
    <x v="2"/>
    <x v="1"/>
    <n v="4317"/>
    <x v="0"/>
    <n v="2.2932592077831826E-2"/>
    <s v="Small"/>
    <n v="0"/>
    <s v="3"/>
  </r>
  <r>
    <s v="LP001926"/>
    <x v="0"/>
    <x v="1"/>
    <x v="0"/>
    <x v="0"/>
    <x v="0"/>
    <x v="252"/>
    <n v="2000"/>
    <n v="120"/>
    <x v="0"/>
    <x v="0"/>
    <x v="1"/>
    <x v="0"/>
    <n v="5704"/>
    <x v="0"/>
    <n v="2.1037868162692847E-2"/>
    <s v="Medium"/>
    <n v="1"/>
    <s v="2"/>
  </r>
  <r>
    <s v="LP001931"/>
    <x v="1"/>
    <x v="0"/>
    <x v="0"/>
    <x v="0"/>
    <x v="0"/>
    <x v="253"/>
    <n v="0"/>
    <n v="115"/>
    <x v="0"/>
    <x v="0"/>
    <x v="2"/>
    <x v="0"/>
    <n v="4124"/>
    <x v="0"/>
    <n v="2.7885548011639186E-2"/>
    <s v="Medium"/>
    <n v="1"/>
    <s v="3"/>
  </r>
  <r>
    <s v="LP001935"/>
    <x v="0"/>
    <x v="0"/>
    <x v="0"/>
    <x v="0"/>
    <x v="0"/>
    <x v="254"/>
    <n v="0"/>
    <n v="187"/>
    <x v="0"/>
    <x v="0"/>
    <x v="1"/>
    <x v="0"/>
    <n v="9508"/>
    <x v="2"/>
    <n v="1.9667648296171646E-2"/>
    <s v="Medium"/>
    <n v="1"/>
    <s v="2"/>
  </r>
  <r>
    <s v="LP001936"/>
    <x v="0"/>
    <x v="1"/>
    <x v="0"/>
    <x v="0"/>
    <x v="0"/>
    <x v="255"/>
    <n v="2416"/>
    <n v="139"/>
    <x v="0"/>
    <x v="0"/>
    <x v="1"/>
    <x v="0"/>
    <n v="5491"/>
    <x v="0"/>
    <n v="2.5314150427973046E-2"/>
    <s v="Medium"/>
    <n v="1"/>
    <s v="2"/>
  </r>
  <r>
    <s v="LP001938"/>
    <x v="0"/>
    <x v="1"/>
    <x v="2"/>
    <x v="0"/>
    <x v="0"/>
    <x v="256"/>
    <n v="0"/>
    <n v="127"/>
    <x v="0"/>
    <x v="1"/>
    <x v="2"/>
    <x v="1"/>
    <n v="4400"/>
    <x v="0"/>
    <n v="2.8863636363636362E-2"/>
    <s v="Medium"/>
    <n v="0"/>
    <s v="3"/>
  </r>
  <r>
    <s v="LP001940"/>
    <x v="0"/>
    <x v="1"/>
    <x v="2"/>
    <x v="0"/>
    <x v="0"/>
    <x v="257"/>
    <n v="1560"/>
    <n v="134"/>
    <x v="0"/>
    <x v="0"/>
    <x v="0"/>
    <x v="0"/>
    <n v="4713"/>
    <x v="0"/>
    <n v="2.8431996605134735E-2"/>
    <s v="Medium"/>
    <n v="1"/>
    <s v="1"/>
  </r>
  <r>
    <s v="LP001945"/>
    <x v="1"/>
    <x v="0"/>
    <x v="0"/>
    <x v="0"/>
    <x v="0"/>
    <x v="5"/>
    <n v="0"/>
    <n v="143"/>
    <x v="6"/>
    <x v="1"/>
    <x v="0"/>
    <x v="1"/>
    <n v="5417"/>
    <x v="0"/>
    <n v="2.6398375484585564E-2"/>
    <s v="Medium"/>
    <n v="0"/>
    <s v="1"/>
  </r>
  <r>
    <s v="LP001947"/>
    <x v="0"/>
    <x v="1"/>
    <x v="0"/>
    <x v="0"/>
    <x v="0"/>
    <x v="164"/>
    <n v="3334"/>
    <n v="172"/>
    <x v="0"/>
    <x v="0"/>
    <x v="2"/>
    <x v="0"/>
    <n v="5717"/>
    <x v="0"/>
    <n v="3.008570928808816E-2"/>
    <s v="Medium"/>
    <n v="1"/>
    <s v="3"/>
  </r>
  <r>
    <s v="LP001949"/>
    <x v="0"/>
    <x v="1"/>
    <x v="3"/>
    <x v="0"/>
    <x v="0"/>
    <x v="258"/>
    <n v="1250"/>
    <n v="110"/>
    <x v="0"/>
    <x v="0"/>
    <x v="0"/>
    <x v="0"/>
    <n v="5666"/>
    <x v="0"/>
    <n v="1.9414048711613129E-2"/>
    <s v="Medium"/>
    <n v="1"/>
    <s v="1"/>
  </r>
  <r>
    <s v="LP001953"/>
    <x v="0"/>
    <x v="1"/>
    <x v="1"/>
    <x v="0"/>
    <x v="0"/>
    <x v="259"/>
    <n v="0"/>
    <n v="200"/>
    <x v="0"/>
    <x v="0"/>
    <x v="2"/>
    <x v="0"/>
    <n v="6875"/>
    <x v="0"/>
    <n v="2.9090909090909091E-2"/>
    <s v="Large"/>
    <n v="1"/>
    <s v="3"/>
  </r>
  <r>
    <s v="LP001954"/>
    <x v="1"/>
    <x v="1"/>
    <x v="1"/>
    <x v="0"/>
    <x v="0"/>
    <x v="260"/>
    <n v="0"/>
    <n v="135"/>
    <x v="0"/>
    <x v="0"/>
    <x v="0"/>
    <x v="0"/>
    <n v="4666"/>
    <x v="0"/>
    <n v="2.8932704672096014E-2"/>
    <s v="Medium"/>
    <n v="1"/>
    <s v="1"/>
  </r>
  <r>
    <s v="LP001955"/>
    <x v="1"/>
    <x v="0"/>
    <x v="0"/>
    <x v="0"/>
    <x v="0"/>
    <x v="192"/>
    <n v="2541"/>
    <n v="151"/>
    <x v="6"/>
    <x v="0"/>
    <x v="1"/>
    <x v="1"/>
    <n v="7541"/>
    <x v="0"/>
    <n v="2.0023869513327144E-2"/>
    <s v="Medium"/>
    <n v="0"/>
    <s v="2"/>
  </r>
  <r>
    <s v="LP001963"/>
    <x v="0"/>
    <x v="1"/>
    <x v="1"/>
    <x v="0"/>
    <x v="0"/>
    <x v="116"/>
    <n v="2925"/>
    <n v="113"/>
    <x v="0"/>
    <x v="0"/>
    <x v="0"/>
    <x v="1"/>
    <n v="4939"/>
    <x v="0"/>
    <n v="2.2879125329013969E-2"/>
    <s v="Medium"/>
    <n v="0"/>
    <s v="1"/>
  </r>
  <r>
    <s v="LP001964"/>
    <x v="0"/>
    <x v="1"/>
    <x v="0"/>
    <x v="1"/>
    <x v="0"/>
    <x v="39"/>
    <n v="2934"/>
    <n v="93"/>
    <x v="0"/>
    <x v="1"/>
    <x v="0"/>
    <x v="1"/>
    <n v="4734"/>
    <x v="0"/>
    <n v="1.9645120405576678E-2"/>
    <s v="Small"/>
    <n v="0"/>
    <s v="1"/>
  </r>
  <r>
    <s v="LP001972"/>
    <x v="0"/>
    <x v="1"/>
    <x v="0"/>
    <x v="1"/>
    <x v="0"/>
    <x v="261"/>
    <n v="1750"/>
    <n v="105"/>
    <x v="0"/>
    <x v="0"/>
    <x v="2"/>
    <x v="0"/>
    <n v="4625"/>
    <x v="0"/>
    <n v="2.2702702702702703E-2"/>
    <s v="Medium"/>
    <n v="1"/>
    <s v="3"/>
  </r>
  <r>
    <s v="LP001974"/>
    <x v="1"/>
    <x v="0"/>
    <x v="0"/>
    <x v="0"/>
    <x v="0"/>
    <x v="192"/>
    <n v="0"/>
    <n v="132"/>
    <x v="0"/>
    <x v="0"/>
    <x v="1"/>
    <x v="0"/>
    <n v="5000"/>
    <x v="0"/>
    <n v="2.64E-2"/>
    <s v="Medium"/>
    <n v="1"/>
    <s v="2"/>
  </r>
  <r>
    <s v="LP001977"/>
    <x v="0"/>
    <x v="1"/>
    <x v="1"/>
    <x v="0"/>
    <x v="0"/>
    <x v="262"/>
    <n v="1803"/>
    <n v="96"/>
    <x v="0"/>
    <x v="0"/>
    <x v="0"/>
    <x v="0"/>
    <n v="3428"/>
    <x v="1"/>
    <n v="2.8004667444574097E-2"/>
    <s v="Small"/>
    <n v="1"/>
    <s v="1"/>
  </r>
  <r>
    <s v="LP001978"/>
    <x v="0"/>
    <x v="0"/>
    <x v="0"/>
    <x v="0"/>
    <x v="0"/>
    <x v="47"/>
    <n v="2500"/>
    <n v="140"/>
    <x v="0"/>
    <x v="0"/>
    <x v="1"/>
    <x v="0"/>
    <n v="6500"/>
    <x v="0"/>
    <n v="2.1538461538461538E-2"/>
    <s v="Medium"/>
    <n v="1"/>
    <s v="2"/>
  </r>
  <r>
    <s v="LP001990"/>
    <x v="0"/>
    <x v="0"/>
    <x v="0"/>
    <x v="1"/>
    <x v="0"/>
    <x v="263"/>
    <n v="0"/>
    <n v="0"/>
    <x v="0"/>
    <x v="0"/>
    <x v="0"/>
    <x v="1"/>
    <n v="2000"/>
    <x v="1"/>
    <n v="0"/>
    <s v="Small"/>
    <n v="0"/>
    <s v="1"/>
  </r>
  <r>
    <s v="LP001993"/>
    <x v="1"/>
    <x v="0"/>
    <x v="0"/>
    <x v="0"/>
    <x v="0"/>
    <x v="264"/>
    <n v="1666"/>
    <n v="135"/>
    <x v="0"/>
    <x v="0"/>
    <x v="1"/>
    <x v="0"/>
    <n v="5428"/>
    <x v="0"/>
    <n v="2.4871039056742816E-2"/>
    <s v="Medium"/>
    <n v="1"/>
    <s v="2"/>
  </r>
  <r>
    <s v="LP001994"/>
    <x v="1"/>
    <x v="0"/>
    <x v="0"/>
    <x v="0"/>
    <x v="0"/>
    <x v="40"/>
    <n v="1863"/>
    <n v="104"/>
    <x v="0"/>
    <x v="1"/>
    <x v="0"/>
    <x v="1"/>
    <n v="4263"/>
    <x v="0"/>
    <n v="2.439596528266479E-2"/>
    <s v="Medium"/>
    <n v="0"/>
    <s v="1"/>
  </r>
  <r>
    <s v="LP001996"/>
    <x v="0"/>
    <x v="0"/>
    <x v="0"/>
    <x v="0"/>
    <x v="0"/>
    <x v="265"/>
    <n v="0"/>
    <n v="480"/>
    <x v="0"/>
    <x v="0"/>
    <x v="1"/>
    <x v="1"/>
    <n v="20233"/>
    <x v="2"/>
    <n v="2.3723619828992241E-2"/>
    <s v="Large"/>
    <n v="0"/>
    <s v="2"/>
  </r>
  <r>
    <s v="LP001998"/>
    <x v="0"/>
    <x v="1"/>
    <x v="2"/>
    <x v="1"/>
    <x v="0"/>
    <x v="266"/>
    <n v="0"/>
    <n v="185"/>
    <x v="0"/>
    <x v="1"/>
    <x v="1"/>
    <x v="0"/>
    <n v="7667"/>
    <x v="0"/>
    <n v="2.4129385678883526E-2"/>
    <s v="Medium"/>
    <n v="1"/>
    <s v="2"/>
  </r>
  <r>
    <s v="LP002002"/>
    <x v="1"/>
    <x v="0"/>
    <x v="0"/>
    <x v="0"/>
    <x v="0"/>
    <x v="267"/>
    <n v="0"/>
    <n v="84"/>
    <x v="0"/>
    <x v="0"/>
    <x v="2"/>
    <x v="0"/>
    <n v="2917"/>
    <x v="1"/>
    <n v="2.8796708947548853E-2"/>
    <s v="Small"/>
    <n v="1"/>
    <s v="3"/>
  </r>
  <r>
    <s v="LP002004"/>
    <x v="0"/>
    <x v="0"/>
    <x v="0"/>
    <x v="1"/>
    <x v="0"/>
    <x v="268"/>
    <n v="2405"/>
    <n v="111"/>
    <x v="0"/>
    <x v="0"/>
    <x v="2"/>
    <x v="0"/>
    <n v="5332"/>
    <x v="0"/>
    <n v="2.0817704426106528E-2"/>
    <s v="Medium"/>
    <n v="1"/>
    <s v="3"/>
  </r>
  <r>
    <s v="LP002006"/>
    <x v="1"/>
    <x v="0"/>
    <x v="0"/>
    <x v="0"/>
    <x v="0"/>
    <x v="269"/>
    <n v="0"/>
    <n v="56"/>
    <x v="0"/>
    <x v="0"/>
    <x v="1"/>
    <x v="0"/>
    <n v="2507"/>
    <x v="1"/>
    <n v="2.2337455125648185E-2"/>
    <s v="Small"/>
    <n v="1"/>
    <s v="2"/>
  </r>
  <r>
    <s v="LP002008"/>
    <x v="0"/>
    <x v="1"/>
    <x v="2"/>
    <x v="0"/>
    <x v="1"/>
    <x v="206"/>
    <n v="0"/>
    <n v="144"/>
    <x v="8"/>
    <x v="1"/>
    <x v="1"/>
    <x v="0"/>
    <n v="5746"/>
    <x v="0"/>
    <n v="2.5060911938739994E-2"/>
    <s v="Medium"/>
    <n v="1"/>
    <s v="2"/>
  </r>
  <r>
    <s v="LP002024"/>
    <x v="0"/>
    <x v="1"/>
    <x v="0"/>
    <x v="0"/>
    <x v="0"/>
    <x v="270"/>
    <n v="1843"/>
    <n v="159"/>
    <x v="0"/>
    <x v="0"/>
    <x v="1"/>
    <x v="1"/>
    <n v="4316"/>
    <x v="0"/>
    <n v="3.6839666357738644E-2"/>
    <s v="Medium"/>
    <n v="0"/>
    <s v="2"/>
  </r>
  <r>
    <s v="LP002031"/>
    <x v="0"/>
    <x v="1"/>
    <x v="1"/>
    <x v="1"/>
    <x v="0"/>
    <x v="271"/>
    <n v="1640"/>
    <n v="111"/>
    <x v="3"/>
    <x v="0"/>
    <x v="0"/>
    <x v="0"/>
    <n v="5039"/>
    <x v="0"/>
    <n v="2.2028180194483032E-2"/>
    <s v="Medium"/>
    <n v="1"/>
    <s v="1"/>
  </r>
  <r>
    <s v="LP002035"/>
    <x v="0"/>
    <x v="1"/>
    <x v="2"/>
    <x v="0"/>
    <x v="0"/>
    <x v="23"/>
    <n v="0"/>
    <n v="120"/>
    <x v="0"/>
    <x v="0"/>
    <x v="2"/>
    <x v="0"/>
    <n v="3717"/>
    <x v="1"/>
    <n v="3.2284100080710247E-2"/>
    <s v="Medium"/>
    <n v="1"/>
    <s v="3"/>
  </r>
  <r>
    <s v="LP002036"/>
    <x v="0"/>
    <x v="1"/>
    <x v="0"/>
    <x v="0"/>
    <x v="0"/>
    <x v="272"/>
    <n v="2134"/>
    <n v="88"/>
    <x v="0"/>
    <x v="1"/>
    <x v="0"/>
    <x v="0"/>
    <n v="4192"/>
    <x v="0"/>
    <n v="2.0992366412213741E-2"/>
    <s v="Small"/>
    <n v="1"/>
    <s v="1"/>
  </r>
  <r>
    <s v="LP002043"/>
    <x v="1"/>
    <x v="0"/>
    <x v="1"/>
    <x v="0"/>
    <x v="0"/>
    <x v="273"/>
    <n v="0"/>
    <n v="112"/>
    <x v="0"/>
    <x v="1"/>
    <x v="2"/>
    <x v="0"/>
    <n v="3541"/>
    <x v="1"/>
    <n v="3.1629483196837054E-2"/>
    <s v="Medium"/>
    <n v="1"/>
    <s v="3"/>
  </r>
  <r>
    <s v="LP002050"/>
    <x v="0"/>
    <x v="1"/>
    <x v="1"/>
    <x v="0"/>
    <x v="1"/>
    <x v="130"/>
    <n v="0"/>
    <n v="155"/>
    <x v="0"/>
    <x v="0"/>
    <x v="1"/>
    <x v="1"/>
    <n v="10000"/>
    <x v="2"/>
    <n v="1.55E-2"/>
    <s v="Medium"/>
    <n v="0"/>
    <s v="2"/>
  </r>
  <r>
    <s v="LP002051"/>
    <x v="0"/>
    <x v="1"/>
    <x v="0"/>
    <x v="0"/>
    <x v="0"/>
    <x v="40"/>
    <n v="2167"/>
    <n v="115"/>
    <x v="0"/>
    <x v="0"/>
    <x v="2"/>
    <x v="0"/>
    <n v="4567"/>
    <x v="0"/>
    <n v="2.5180643748631486E-2"/>
    <s v="Medium"/>
    <n v="1"/>
    <s v="3"/>
  </r>
  <r>
    <s v="LP002053"/>
    <x v="0"/>
    <x v="1"/>
    <x v="3"/>
    <x v="0"/>
    <x v="0"/>
    <x v="274"/>
    <n v="189"/>
    <n v="124"/>
    <x v="0"/>
    <x v="0"/>
    <x v="2"/>
    <x v="0"/>
    <n v="4531"/>
    <x v="0"/>
    <n v="2.7367027146325315E-2"/>
    <s v="Medium"/>
    <n v="1"/>
    <s v="3"/>
  </r>
  <r>
    <s v="LP002054"/>
    <x v="0"/>
    <x v="1"/>
    <x v="2"/>
    <x v="1"/>
    <x v="0"/>
    <x v="275"/>
    <n v="1590"/>
    <n v="0"/>
    <x v="0"/>
    <x v="0"/>
    <x v="1"/>
    <x v="0"/>
    <n v="5191"/>
    <x v="0"/>
    <n v="0"/>
    <s v="Small"/>
    <n v="1"/>
    <s v="2"/>
  </r>
  <r>
    <s v="LP002055"/>
    <x v="1"/>
    <x v="0"/>
    <x v="0"/>
    <x v="0"/>
    <x v="0"/>
    <x v="276"/>
    <n v="2985"/>
    <n v="132"/>
    <x v="0"/>
    <x v="1"/>
    <x v="1"/>
    <x v="0"/>
    <n v="6151"/>
    <x v="0"/>
    <n v="2.1459925215412127E-2"/>
    <s v="Medium"/>
    <n v="1"/>
    <s v="2"/>
  </r>
  <r>
    <s v="LP002065"/>
    <x v="0"/>
    <x v="1"/>
    <x v="3"/>
    <x v="0"/>
    <x v="0"/>
    <x v="277"/>
    <n v="0"/>
    <n v="300"/>
    <x v="0"/>
    <x v="0"/>
    <x v="1"/>
    <x v="0"/>
    <n v="15000"/>
    <x v="2"/>
    <n v="0.02"/>
    <s v="Large"/>
    <n v="1"/>
    <s v="2"/>
  </r>
  <r>
    <s v="LP002067"/>
    <x v="0"/>
    <x v="1"/>
    <x v="1"/>
    <x v="0"/>
    <x v="1"/>
    <x v="278"/>
    <n v="4983"/>
    <n v="376"/>
    <x v="0"/>
    <x v="1"/>
    <x v="1"/>
    <x v="1"/>
    <n v="13649"/>
    <x v="2"/>
    <n v="2.7547805700051286E-2"/>
    <s v="Large"/>
    <n v="0"/>
    <s v="2"/>
  </r>
  <r>
    <s v="LP002068"/>
    <x v="0"/>
    <x v="0"/>
    <x v="0"/>
    <x v="0"/>
    <x v="0"/>
    <x v="279"/>
    <n v="0"/>
    <n v="130"/>
    <x v="0"/>
    <x v="1"/>
    <x v="1"/>
    <x v="0"/>
    <n v="4917"/>
    <x v="0"/>
    <n v="2.6438885499288182E-2"/>
    <s v="Medium"/>
    <n v="1"/>
    <s v="2"/>
  </r>
  <r>
    <s v="LP002082"/>
    <x v="0"/>
    <x v="1"/>
    <x v="0"/>
    <x v="0"/>
    <x v="1"/>
    <x v="280"/>
    <n v="2160"/>
    <n v="184"/>
    <x v="0"/>
    <x v="0"/>
    <x v="2"/>
    <x v="0"/>
    <n v="7978"/>
    <x v="0"/>
    <n v="2.3063424417147156E-2"/>
    <s v="Medium"/>
    <n v="1"/>
    <s v="3"/>
  </r>
  <r>
    <s v="LP002086"/>
    <x v="1"/>
    <x v="1"/>
    <x v="0"/>
    <x v="0"/>
    <x v="0"/>
    <x v="235"/>
    <n v="2451"/>
    <n v="110"/>
    <x v="0"/>
    <x v="0"/>
    <x v="0"/>
    <x v="1"/>
    <n v="6784"/>
    <x v="0"/>
    <n v="1.6214622641509434E-2"/>
    <s v="Medium"/>
    <n v="0"/>
    <s v="1"/>
  </r>
  <r>
    <s v="LP002087"/>
    <x v="1"/>
    <x v="0"/>
    <x v="0"/>
    <x v="0"/>
    <x v="0"/>
    <x v="11"/>
    <n v="0"/>
    <n v="67"/>
    <x v="0"/>
    <x v="0"/>
    <x v="0"/>
    <x v="0"/>
    <n v="2500"/>
    <x v="1"/>
    <n v="2.6800000000000001E-2"/>
    <s v="Small"/>
    <n v="1"/>
    <s v="1"/>
  </r>
  <r>
    <s v="LP002097"/>
    <x v="0"/>
    <x v="0"/>
    <x v="1"/>
    <x v="0"/>
    <x v="0"/>
    <x v="281"/>
    <n v="1793"/>
    <n v="117"/>
    <x v="0"/>
    <x v="0"/>
    <x v="0"/>
    <x v="0"/>
    <n v="6177"/>
    <x v="0"/>
    <n v="1.8941233608547839E-2"/>
    <s v="Medium"/>
    <n v="1"/>
    <s v="1"/>
  </r>
  <r>
    <s v="LP002098"/>
    <x v="0"/>
    <x v="0"/>
    <x v="0"/>
    <x v="0"/>
    <x v="0"/>
    <x v="282"/>
    <n v="0"/>
    <n v="98"/>
    <x v="0"/>
    <x v="0"/>
    <x v="2"/>
    <x v="0"/>
    <n v="2935"/>
    <x v="1"/>
    <n v="3.3390119250425891E-2"/>
    <s v="Small"/>
    <n v="1"/>
    <s v="3"/>
  </r>
  <r>
    <s v="LP002100"/>
    <x v="0"/>
    <x v="0"/>
    <x v="0"/>
    <x v="0"/>
    <x v="0"/>
    <x v="239"/>
    <n v="0"/>
    <n v="71"/>
    <x v="0"/>
    <x v="0"/>
    <x v="0"/>
    <x v="0"/>
    <n v="2833"/>
    <x v="1"/>
    <n v="2.5061771973173313E-2"/>
    <s v="Small"/>
    <n v="1"/>
    <s v="1"/>
  </r>
  <r>
    <s v="LP002101"/>
    <x v="0"/>
    <x v="1"/>
    <x v="0"/>
    <x v="0"/>
    <x v="0"/>
    <x v="283"/>
    <n v="0"/>
    <n v="490"/>
    <x v="3"/>
    <x v="0"/>
    <x v="0"/>
    <x v="0"/>
    <n v="63337"/>
    <x v="2"/>
    <n v="7.7363942087563349E-3"/>
    <s v="Large"/>
    <n v="1"/>
    <s v="1"/>
  </r>
  <r>
    <s v="LP002103"/>
    <x v="1"/>
    <x v="1"/>
    <x v="1"/>
    <x v="0"/>
    <x v="1"/>
    <x v="284"/>
    <n v="1833"/>
    <n v="182"/>
    <x v="3"/>
    <x v="0"/>
    <x v="0"/>
    <x v="0"/>
    <n v="11666"/>
    <x v="2"/>
    <n v="1.5600891479513115E-2"/>
    <s v="Medium"/>
    <n v="1"/>
    <s v="1"/>
  </r>
  <r>
    <s v="LP002106"/>
    <x v="0"/>
    <x v="1"/>
    <x v="0"/>
    <x v="0"/>
    <x v="1"/>
    <x v="285"/>
    <n v="4490"/>
    <n v="70"/>
    <x v="0"/>
    <x v="0"/>
    <x v="2"/>
    <x v="0"/>
    <n v="9993"/>
    <x v="2"/>
    <n v="7.0049034324026821E-3"/>
    <s v="Small"/>
    <n v="1"/>
    <s v="3"/>
  </r>
  <r>
    <s v="LP002110"/>
    <x v="0"/>
    <x v="1"/>
    <x v="1"/>
    <x v="0"/>
    <x v="0"/>
    <x v="225"/>
    <n v="688"/>
    <n v="160"/>
    <x v="0"/>
    <x v="0"/>
    <x v="1"/>
    <x v="0"/>
    <n v="5938"/>
    <x v="0"/>
    <n v="2.694509936005389E-2"/>
    <s v="Medium"/>
    <n v="1"/>
    <s v="2"/>
  </r>
  <r>
    <s v="LP002112"/>
    <x v="0"/>
    <x v="1"/>
    <x v="2"/>
    <x v="0"/>
    <x v="1"/>
    <x v="11"/>
    <n v="4600"/>
    <n v="176"/>
    <x v="0"/>
    <x v="0"/>
    <x v="1"/>
    <x v="0"/>
    <n v="7100"/>
    <x v="0"/>
    <n v="2.4788732394366197E-2"/>
    <s v="Medium"/>
    <n v="1"/>
    <s v="2"/>
  </r>
  <r>
    <s v="LP002113"/>
    <x v="1"/>
    <x v="0"/>
    <x v="3"/>
    <x v="1"/>
    <x v="0"/>
    <x v="286"/>
    <n v="0"/>
    <n v="0"/>
    <x v="0"/>
    <x v="1"/>
    <x v="0"/>
    <x v="1"/>
    <n v="1830"/>
    <x v="1"/>
    <n v="0"/>
    <s v="Small"/>
    <n v="0"/>
    <s v="1"/>
  </r>
  <r>
    <s v="LP002114"/>
    <x v="1"/>
    <x v="0"/>
    <x v="0"/>
    <x v="0"/>
    <x v="0"/>
    <x v="287"/>
    <n v="0"/>
    <n v="71"/>
    <x v="0"/>
    <x v="0"/>
    <x v="2"/>
    <x v="0"/>
    <n v="4160"/>
    <x v="0"/>
    <n v="1.7067307692307691E-2"/>
    <s v="Small"/>
    <n v="1"/>
    <s v="3"/>
  </r>
  <r>
    <s v="LP002115"/>
    <x v="0"/>
    <x v="1"/>
    <x v="3"/>
    <x v="1"/>
    <x v="0"/>
    <x v="288"/>
    <n v="1587"/>
    <n v="173"/>
    <x v="0"/>
    <x v="0"/>
    <x v="1"/>
    <x v="1"/>
    <n v="4234"/>
    <x v="0"/>
    <n v="4.0859707132735006E-2"/>
    <s v="Medium"/>
    <n v="0"/>
    <s v="2"/>
  </r>
  <r>
    <s v="LP002116"/>
    <x v="1"/>
    <x v="0"/>
    <x v="0"/>
    <x v="0"/>
    <x v="0"/>
    <x v="289"/>
    <n v="0"/>
    <n v="46"/>
    <x v="0"/>
    <x v="0"/>
    <x v="1"/>
    <x v="1"/>
    <n v="2378"/>
    <x v="1"/>
    <n v="1.9343986543313711E-2"/>
    <s v="Small"/>
    <n v="0"/>
    <s v="2"/>
  </r>
  <r>
    <s v="LP002119"/>
    <x v="0"/>
    <x v="1"/>
    <x v="1"/>
    <x v="1"/>
    <x v="0"/>
    <x v="290"/>
    <n v="1229"/>
    <n v="158"/>
    <x v="0"/>
    <x v="0"/>
    <x v="0"/>
    <x v="0"/>
    <n v="5783"/>
    <x v="0"/>
    <n v="2.7321459450112398E-2"/>
    <s v="Medium"/>
    <n v="1"/>
    <s v="1"/>
  </r>
  <r>
    <s v="LP002126"/>
    <x v="0"/>
    <x v="1"/>
    <x v="3"/>
    <x v="1"/>
    <x v="0"/>
    <x v="188"/>
    <n v="0"/>
    <n v="74"/>
    <x v="0"/>
    <x v="0"/>
    <x v="2"/>
    <x v="0"/>
    <n v="3173"/>
    <x v="1"/>
    <n v="2.3321777497636306E-2"/>
    <s v="Small"/>
    <n v="1"/>
    <s v="3"/>
  </r>
  <r>
    <s v="LP002128"/>
    <x v="0"/>
    <x v="1"/>
    <x v="2"/>
    <x v="0"/>
    <x v="0"/>
    <x v="3"/>
    <n v="2330"/>
    <n v="125"/>
    <x v="0"/>
    <x v="0"/>
    <x v="1"/>
    <x v="0"/>
    <n v="4913"/>
    <x v="0"/>
    <n v="2.54427030327702E-2"/>
    <s v="Medium"/>
    <n v="1"/>
    <s v="2"/>
  </r>
  <r>
    <s v="LP002129"/>
    <x v="0"/>
    <x v="1"/>
    <x v="0"/>
    <x v="0"/>
    <x v="0"/>
    <x v="291"/>
    <n v="2458"/>
    <n v="160"/>
    <x v="0"/>
    <x v="0"/>
    <x v="2"/>
    <x v="0"/>
    <n v="4957"/>
    <x v="0"/>
    <n v="3.2277587250353033E-2"/>
    <s v="Medium"/>
    <n v="1"/>
    <s v="3"/>
  </r>
  <r>
    <s v="LP002130"/>
    <x v="0"/>
    <x v="1"/>
    <x v="0"/>
    <x v="1"/>
    <x v="0"/>
    <x v="292"/>
    <n v="3230"/>
    <n v="152"/>
    <x v="0"/>
    <x v="1"/>
    <x v="1"/>
    <x v="1"/>
    <n v="6753"/>
    <x v="0"/>
    <n v="2.2508514734192211E-2"/>
    <s v="Medium"/>
    <n v="0"/>
    <s v="2"/>
  </r>
  <r>
    <s v="LP002131"/>
    <x v="0"/>
    <x v="1"/>
    <x v="2"/>
    <x v="1"/>
    <x v="0"/>
    <x v="223"/>
    <n v="2168"/>
    <n v="126"/>
    <x v="0"/>
    <x v="0"/>
    <x v="0"/>
    <x v="0"/>
    <n v="5251"/>
    <x v="0"/>
    <n v="2.3995429442011044E-2"/>
    <s v="Medium"/>
    <n v="1"/>
    <s v="1"/>
  </r>
  <r>
    <s v="LP002137"/>
    <x v="0"/>
    <x v="1"/>
    <x v="0"/>
    <x v="0"/>
    <x v="0"/>
    <x v="293"/>
    <n v="4583"/>
    <n v="259"/>
    <x v="0"/>
    <x v="1"/>
    <x v="2"/>
    <x v="0"/>
    <n v="10916"/>
    <x v="2"/>
    <n v="2.3726639794796629E-2"/>
    <s v="Large"/>
    <n v="1"/>
    <s v="3"/>
  </r>
  <r>
    <s v="LP002138"/>
    <x v="0"/>
    <x v="1"/>
    <x v="0"/>
    <x v="0"/>
    <x v="0"/>
    <x v="294"/>
    <n v="6250"/>
    <n v="187"/>
    <x v="0"/>
    <x v="0"/>
    <x v="1"/>
    <x v="0"/>
    <n v="8875"/>
    <x v="2"/>
    <n v="2.1070422535211266E-2"/>
    <s v="Medium"/>
    <n v="1"/>
    <s v="2"/>
  </r>
  <r>
    <s v="LP002139"/>
    <x v="0"/>
    <x v="1"/>
    <x v="0"/>
    <x v="0"/>
    <x v="0"/>
    <x v="295"/>
    <n v="0"/>
    <n v="228"/>
    <x v="0"/>
    <x v="0"/>
    <x v="2"/>
    <x v="0"/>
    <n v="9083"/>
    <x v="2"/>
    <n v="2.5101838599581636E-2"/>
    <s v="Large"/>
    <n v="1"/>
    <s v="3"/>
  </r>
  <r>
    <s v="LP002140"/>
    <x v="0"/>
    <x v="0"/>
    <x v="0"/>
    <x v="0"/>
    <x v="0"/>
    <x v="296"/>
    <n v="4167"/>
    <n v="308"/>
    <x v="0"/>
    <x v="0"/>
    <x v="1"/>
    <x v="1"/>
    <n v="12917"/>
    <x v="2"/>
    <n v="2.3844545947201364E-2"/>
    <s v="Large"/>
    <n v="0"/>
    <s v="2"/>
  </r>
  <r>
    <s v="LP002141"/>
    <x v="0"/>
    <x v="1"/>
    <x v="3"/>
    <x v="0"/>
    <x v="0"/>
    <x v="297"/>
    <n v="2083"/>
    <n v="95"/>
    <x v="0"/>
    <x v="0"/>
    <x v="1"/>
    <x v="0"/>
    <n v="4749"/>
    <x v="0"/>
    <n v="2.0004211412929039E-2"/>
    <s v="Small"/>
    <n v="1"/>
    <s v="2"/>
  </r>
  <r>
    <s v="LP002142"/>
    <x v="1"/>
    <x v="1"/>
    <x v="0"/>
    <x v="0"/>
    <x v="1"/>
    <x v="205"/>
    <n v="0"/>
    <n v="105"/>
    <x v="0"/>
    <x v="1"/>
    <x v="1"/>
    <x v="1"/>
    <n v="5500"/>
    <x v="0"/>
    <n v="1.9090909090909092E-2"/>
    <s v="Medium"/>
    <n v="0"/>
    <s v="2"/>
  </r>
  <r>
    <s v="LP002143"/>
    <x v="1"/>
    <x v="1"/>
    <x v="0"/>
    <x v="0"/>
    <x v="0"/>
    <x v="298"/>
    <n v="505"/>
    <n v="130"/>
    <x v="0"/>
    <x v="0"/>
    <x v="2"/>
    <x v="0"/>
    <n v="2928"/>
    <x v="1"/>
    <n v="4.4398907103825137E-2"/>
    <s v="Medium"/>
    <n v="1"/>
    <s v="3"/>
  </r>
  <r>
    <s v="LP002144"/>
    <x v="1"/>
    <x v="0"/>
    <x v="0"/>
    <x v="0"/>
    <x v="0"/>
    <x v="299"/>
    <n v="0"/>
    <n v="116"/>
    <x v="3"/>
    <x v="0"/>
    <x v="0"/>
    <x v="0"/>
    <n v="3813"/>
    <x v="1"/>
    <n v="3.042223970626803E-2"/>
    <s v="Medium"/>
    <n v="1"/>
    <s v="1"/>
  </r>
  <r>
    <s v="LP002149"/>
    <x v="0"/>
    <x v="1"/>
    <x v="2"/>
    <x v="0"/>
    <x v="0"/>
    <x v="173"/>
    <n v="3167"/>
    <n v="165"/>
    <x v="0"/>
    <x v="0"/>
    <x v="1"/>
    <x v="0"/>
    <n v="11500"/>
    <x v="2"/>
    <n v="1.4347826086956521E-2"/>
    <s v="Medium"/>
    <n v="1"/>
    <s v="2"/>
  </r>
  <r>
    <s v="LP002151"/>
    <x v="0"/>
    <x v="1"/>
    <x v="1"/>
    <x v="0"/>
    <x v="0"/>
    <x v="300"/>
    <n v="0"/>
    <n v="67"/>
    <x v="0"/>
    <x v="0"/>
    <x v="0"/>
    <x v="1"/>
    <n v="3875"/>
    <x v="1"/>
    <n v="1.7290322580645161E-2"/>
    <s v="Small"/>
    <n v="0"/>
    <s v="1"/>
  </r>
  <r>
    <s v="LP002158"/>
    <x v="0"/>
    <x v="1"/>
    <x v="0"/>
    <x v="1"/>
    <x v="0"/>
    <x v="2"/>
    <n v="1666"/>
    <n v="100"/>
    <x v="6"/>
    <x v="1"/>
    <x v="0"/>
    <x v="1"/>
    <n v="4666"/>
    <x v="0"/>
    <n v="2.1431633090441493E-2"/>
    <s v="Medium"/>
    <n v="0"/>
    <s v="1"/>
  </r>
  <r>
    <s v="LP002160"/>
    <x v="0"/>
    <x v="1"/>
    <x v="3"/>
    <x v="0"/>
    <x v="0"/>
    <x v="301"/>
    <n v="3167"/>
    <n v="200"/>
    <x v="0"/>
    <x v="0"/>
    <x v="2"/>
    <x v="0"/>
    <n v="8334"/>
    <x v="2"/>
    <n v="2.3998080153587713E-2"/>
    <s v="Large"/>
    <n v="1"/>
    <s v="3"/>
  </r>
  <r>
    <s v="LP002161"/>
    <x v="1"/>
    <x v="0"/>
    <x v="1"/>
    <x v="0"/>
    <x v="0"/>
    <x v="302"/>
    <n v="0"/>
    <n v="81"/>
    <x v="0"/>
    <x v="0"/>
    <x v="2"/>
    <x v="1"/>
    <n v="4723"/>
    <x v="0"/>
    <n v="1.7150116451408005E-2"/>
    <s v="Small"/>
    <n v="0"/>
    <s v="3"/>
  </r>
  <r>
    <s v="LP002170"/>
    <x v="0"/>
    <x v="1"/>
    <x v="2"/>
    <x v="0"/>
    <x v="0"/>
    <x v="192"/>
    <n v="3667"/>
    <n v="236"/>
    <x v="0"/>
    <x v="0"/>
    <x v="2"/>
    <x v="0"/>
    <n v="8667"/>
    <x v="2"/>
    <n v="2.7229721933771777E-2"/>
    <s v="Large"/>
    <n v="1"/>
    <s v="3"/>
  </r>
  <r>
    <s v="LP002175"/>
    <x v="0"/>
    <x v="1"/>
    <x v="0"/>
    <x v="0"/>
    <x v="0"/>
    <x v="303"/>
    <n v="2333"/>
    <n v="130"/>
    <x v="0"/>
    <x v="0"/>
    <x v="0"/>
    <x v="0"/>
    <n v="7083"/>
    <x v="0"/>
    <n v="1.8353804884935761E-2"/>
    <s v="Medium"/>
    <n v="1"/>
    <s v="1"/>
  </r>
  <r>
    <s v="LP002178"/>
    <x v="0"/>
    <x v="1"/>
    <x v="0"/>
    <x v="0"/>
    <x v="0"/>
    <x v="304"/>
    <n v="3033"/>
    <n v="95"/>
    <x v="5"/>
    <x v="0"/>
    <x v="0"/>
    <x v="0"/>
    <n v="6046"/>
    <x v="0"/>
    <n v="1.5712868011908701E-2"/>
    <s v="Small"/>
    <n v="1"/>
    <s v="1"/>
  </r>
  <r>
    <s v="LP002180"/>
    <x v="0"/>
    <x v="0"/>
    <x v="0"/>
    <x v="0"/>
    <x v="1"/>
    <x v="305"/>
    <n v="0"/>
    <n v="141"/>
    <x v="0"/>
    <x v="0"/>
    <x v="1"/>
    <x v="0"/>
    <n v="6822"/>
    <x v="0"/>
    <n v="2.0668425681618294E-2"/>
    <s v="Medium"/>
    <n v="1"/>
    <s v="2"/>
  </r>
  <r>
    <s v="LP002181"/>
    <x v="0"/>
    <x v="0"/>
    <x v="0"/>
    <x v="1"/>
    <x v="0"/>
    <x v="306"/>
    <n v="0"/>
    <n v="133"/>
    <x v="0"/>
    <x v="0"/>
    <x v="1"/>
    <x v="1"/>
    <n v="6216"/>
    <x v="0"/>
    <n v="2.1396396396396396E-2"/>
    <s v="Medium"/>
    <n v="0"/>
    <s v="2"/>
  </r>
  <r>
    <s v="LP002187"/>
    <x v="0"/>
    <x v="0"/>
    <x v="0"/>
    <x v="0"/>
    <x v="0"/>
    <x v="11"/>
    <n v="0"/>
    <n v="96"/>
    <x v="6"/>
    <x v="0"/>
    <x v="2"/>
    <x v="1"/>
    <n v="2500"/>
    <x v="1"/>
    <n v="3.8399999999999997E-2"/>
    <s v="Small"/>
    <n v="0"/>
    <s v="3"/>
  </r>
  <r>
    <s v="LP002188"/>
    <x v="0"/>
    <x v="0"/>
    <x v="0"/>
    <x v="0"/>
    <x v="0"/>
    <x v="307"/>
    <n v="0"/>
    <n v="124"/>
    <x v="0"/>
    <x v="1"/>
    <x v="1"/>
    <x v="1"/>
    <n v="5124"/>
    <x v="0"/>
    <n v="2.4199843871975019E-2"/>
    <s v="Medium"/>
    <n v="0"/>
    <s v="2"/>
  </r>
  <r>
    <s v="LP002190"/>
    <x v="0"/>
    <x v="1"/>
    <x v="1"/>
    <x v="0"/>
    <x v="0"/>
    <x v="308"/>
    <n v="0"/>
    <n v="175"/>
    <x v="0"/>
    <x v="0"/>
    <x v="2"/>
    <x v="0"/>
    <n v="6325"/>
    <x v="0"/>
    <n v="2.766798418972332E-2"/>
    <s v="Medium"/>
    <n v="1"/>
    <s v="3"/>
  </r>
  <r>
    <s v="LP002191"/>
    <x v="0"/>
    <x v="1"/>
    <x v="0"/>
    <x v="0"/>
    <x v="0"/>
    <x v="309"/>
    <n v="5266"/>
    <n v="570"/>
    <x v="0"/>
    <x v="0"/>
    <x v="1"/>
    <x v="1"/>
    <n v="24996"/>
    <x v="2"/>
    <n v="2.2803648583773404E-2"/>
    <s v="Large"/>
    <n v="0"/>
    <s v="2"/>
  </r>
  <r>
    <s v="LP002194"/>
    <x v="1"/>
    <x v="0"/>
    <x v="0"/>
    <x v="0"/>
    <x v="1"/>
    <x v="310"/>
    <n v="0"/>
    <n v="55"/>
    <x v="0"/>
    <x v="0"/>
    <x v="2"/>
    <x v="0"/>
    <n v="15759"/>
    <x v="2"/>
    <n v="3.4900691668253063E-3"/>
    <s v="Small"/>
    <n v="1"/>
    <s v="3"/>
  </r>
  <r>
    <s v="LP002197"/>
    <x v="0"/>
    <x v="1"/>
    <x v="2"/>
    <x v="0"/>
    <x v="0"/>
    <x v="311"/>
    <n v="0"/>
    <n v="155"/>
    <x v="0"/>
    <x v="0"/>
    <x v="2"/>
    <x v="0"/>
    <n v="5185"/>
    <x v="0"/>
    <n v="2.9893924783027964E-2"/>
    <s v="Medium"/>
    <n v="1"/>
    <s v="3"/>
  </r>
  <r>
    <s v="LP002201"/>
    <x v="0"/>
    <x v="1"/>
    <x v="2"/>
    <x v="0"/>
    <x v="1"/>
    <x v="144"/>
    <n v="7873"/>
    <n v="380"/>
    <x v="5"/>
    <x v="0"/>
    <x v="1"/>
    <x v="0"/>
    <n v="17196"/>
    <x v="2"/>
    <n v="2.209816236334031E-2"/>
    <s v="Large"/>
    <n v="1"/>
    <s v="2"/>
  </r>
  <r>
    <s v="LP002205"/>
    <x v="0"/>
    <x v="0"/>
    <x v="1"/>
    <x v="0"/>
    <x v="0"/>
    <x v="312"/>
    <n v="1987"/>
    <n v="111"/>
    <x v="3"/>
    <x v="1"/>
    <x v="0"/>
    <x v="1"/>
    <n v="5049"/>
    <x v="0"/>
    <n v="2.1984551396316103E-2"/>
    <s v="Medium"/>
    <n v="0"/>
    <s v="1"/>
  </r>
  <r>
    <s v="LP002209"/>
    <x v="1"/>
    <x v="0"/>
    <x v="0"/>
    <x v="0"/>
    <x v="0"/>
    <x v="313"/>
    <n v="1459"/>
    <n v="110"/>
    <x v="0"/>
    <x v="0"/>
    <x v="0"/>
    <x v="0"/>
    <n v="4223"/>
    <x v="0"/>
    <n v="2.604783329386692E-2"/>
    <s v="Medium"/>
    <n v="1"/>
    <s v="1"/>
  </r>
  <r>
    <s v="LP002211"/>
    <x v="0"/>
    <x v="1"/>
    <x v="0"/>
    <x v="0"/>
    <x v="0"/>
    <x v="314"/>
    <n v="923"/>
    <n v="120"/>
    <x v="3"/>
    <x v="0"/>
    <x v="0"/>
    <x v="0"/>
    <n v="5740"/>
    <x v="0"/>
    <n v="2.0905923344947737E-2"/>
    <s v="Medium"/>
    <n v="1"/>
    <s v="1"/>
  </r>
  <r>
    <s v="LP002219"/>
    <x v="0"/>
    <x v="1"/>
    <x v="3"/>
    <x v="0"/>
    <x v="0"/>
    <x v="296"/>
    <n v="4996"/>
    <n v="130"/>
    <x v="0"/>
    <x v="0"/>
    <x v="1"/>
    <x v="0"/>
    <n v="13746"/>
    <x v="2"/>
    <n v="9.4572966681216349E-3"/>
    <s v="Medium"/>
    <n v="1"/>
    <s v="2"/>
  </r>
  <r>
    <s v="LP002223"/>
    <x v="0"/>
    <x v="1"/>
    <x v="0"/>
    <x v="0"/>
    <x v="0"/>
    <x v="315"/>
    <n v="0"/>
    <n v="130"/>
    <x v="0"/>
    <x v="1"/>
    <x v="2"/>
    <x v="0"/>
    <n v="4310"/>
    <x v="0"/>
    <n v="3.0162412993039442E-2"/>
    <s v="Medium"/>
    <n v="1"/>
    <s v="3"/>
  </r>
  <r>
    <s v="LP002224"/>
    <x v="0"/>
    <x v="0"/>
    <x v="0"/>
    <x v="0"/>
    <x v="0"/>
    <x v="316"/>
    <n v="0"/>
    <n v="71"/>
    <x v="6"/>
    <x v="0"/>
    <x v="0"/>
    <x v="1"/>
    <n v="3069"/>
    <x v="1"/>
    <n v="2.3134571521668295E-2"/>
    <s v="Small"/>
    <n v="0"/>
    <s v="1"/>
  </r>
  <r>
    <s v="LP002225"/>
    <x v="0"/>
    <x v="1"/>
    <x v="2"/>
    <x v="0"/>
    <x v="0"/>
    <x v="317"/>
    <n v="0"/>
    <n v="130"/>
    <x v="0"/>
    <x v="0"/>
    <x v="0"/>
    <x v="0"/>
    <n v="5391"/>
    <x v="0"/>
    <n v="2.4114264514932295E-2"/>
    <s v="Medium"/>
    <n v="1"/>
    <s v="1"/>
  </r>
  <r>
    <s v="LP002226"/>
    <x v="0"/>
    <x v="1"/>
    <x v="0"/>
    <x v="0"/>
    <x v="0"/>
    <x v="70"/>
    <n v="2500"/>
    <n v="128"/>
    <x v="0"/>
    <x v="0"/>
    <x v="2"/>
    <x v="0"/>
    <n v="5833"/>
    <x v="0"/>
    <n v="2.1944111092062405E-2"/>
    <s v="Medium"/>
    <n v="1"/>
    <s v="3"/>
  </r>
  <r>
    <s v="LP002229"/>
    <x v="0"/>
    <x v="0"/>
    <x v="0"/>
    <x v="0"/>
    <x v="0"/>
    <x v="318"/>
    <n v="4232"/>
    <n v="296"/>
    <x v="0"/>
    <x v="0"/>
    <x v="2"/>
    <x v="0"/>
    <n v="10173"/>
    <x v="2"/>
    <n v="2.9096628329892852E-2"/>
    <s v="Large"/>
    <n v="1"/>
    <s v="3"/>
  </r>
  <r>
    <s v="LP002231"/>
    <x v="1"/>
    <x v="0"/>
    <x v="0"/>
    <x v="0"/>
    <x v="0"/>
    <x v="4"/>
    <n v="0"/>
    <n v="156"/>
    <x v="0"/>
    <x v="0"/>
    <x v="0"/>
    <x v="0"/>
    <n v="6000"/>
    <x v="0"/>
    <n v="2.5999999999999999E-2"/>
    <s v="Medium"/>
    <n v="1"/>
    <s v="1"/>
  </r>
  <r>
    <s v="LP002234"/>
    <x v="0"/>
    <x v="0"/>
    <x v="0"/>
    <x v="0"/>
    <x v="1"/>
    <x v="319"/>
    <n v="0"/>
    <n v="128"/>
    <x v="0"/>
    <x v="0"/>
    <x v="0"/>
    <x v="0"/>
    <n v="7167"/>
    <x v="0"/>
    <n v="1.7859634435607646E-2"/>
    <s v="Medium"/>
    <n v="1"/>
    <s v="1"/>
  </r>
  <r>
    <s v="LP002236"/>
    <x v="0"/>
    <x v="1"/>
    <x v="2"/>
    <x v="0"/>
    <x v="0"/>
    <x v="320"/>
    <n v="0"/>
    <n v="100"/>
    <x v="0"/>
    <x v="0"/>
    <x v="0"/>
    <x v="1"/>
    <n v="4566"/>
    <x v="0"/>
    <n v="2.1901007446342532E-2"/>
    <s v="Medium"/>
    <n v="0"/>
    <s v="1"/>
  </r>
  <r>
    <s v="LP002237"/>
    <x v="0"/>
    <x v="0"/>
    <x v="1"/>
    <x v="0"/>
    <x v="0"/>
    <x v="36"/>
    <n v="0"/>
    <n v="113"/>
    <x v="3"/>
    <x v="0"/>
    <x v="0"/>
    <x v="0"/>
    <n v="3667"/>
    <x v="1"/>
    <n v="3.0815380419961822E-2"/>
    <s v="Medium"/>
    <n v="1"/>
    <s v="1"/>
  </r>
  <r>
    <s v="LP002239"/>
    <x v="0"/>
    <x v="0"/>
    <x v="0"/>
    <x v="1"/>
    <x v="0"/>
    <x v="321"/>
    <n v="1600"/>
    <n v="132"/>
    <x v="0"/>
    <x v="0"/>
    <x v="2"/>
    <x v="0"/>
    <n v="3946"/>
    <x v="1"/>
    <n v="3.3451596553471873E-2"/>
    <s v="Medium"/>
    <n v="1"/>
    <s v="3"/>
  </r>
  <r>
    <s v="LP002243"/>
    <x v="0"/>
    <x v="1"/>
    <x v="0"/>
    <x v="1"/>
    <x v="0"/>
    <x v="322"/>
    <n v="3136"/>
    <n v="0"/>
    <x v="0"/>
    <x v="1"/>
    <x v="0"/>
    <x v="1"/>
    <n v="6146"/>
    <x v="0"/>
    <n v="0"/>
    <s v="Small"/>
    <n v="0"/>
    <s v="1"/>
  </r>
  <r>
    <s v="LP002244"/>
    <x v="0"/>
    <x v="1"/>
    <x v="0"/>
    <x v="0"/>
    <x v="0"/>
    <x v="6"/>
    <n v="2417"/>
    <n v="136"/>
    <x v="0"/>
    <x v="0"/>
    <x v="0"/>
    <x v="0"/>
    <n v="4750"/>
    <x v="0"/>
    <n v="2.8631578947368421E-2"/>
    <s v="Medium"/>
    <n v="1"/>
    <s v="1"/>
  </r>
  <r>
    <s v="LP002250"/>
    <x v="0"/>
    <x v="1"/>
    <x v="0"/>
    <x v="0"/>
    <x v="0"/>
    <x v="323"/>
    <n v="0"/>
    <n v="125"/>
    <x v="0"/>
    <x v="0"/>
    <x v="1"/>
    <x v="0"/>
    <n v="5488"/>
    <x v="0"/>
    <n v="2.2776967930029153E-2"/>
    <s v="Medium"/>
    <n v="1"/>
    <s v="2"/>
  </r>
  <r>
    <s v="LP002255"/>
    <x v="0"/>
    <x v="0"/>
    <x v="3"/>
    <x v="0"/>
    <x v="0"/>
    <x v="324"/>
    <n v="0"/>
    <n v="185"/>
    <x v="0"/>
    <x v="0"/>
    <x v="1"/>
    <x v="0"/>
    <n v="9167"/>
    <x v="2"/>
    <n v="2.0181084324206393E-2"/>
    <s v="Medium"/>
    <n v="1"/>
    <s v="2"/>
  </r>
  <r>
    <s v="LP002262"/>
    <x v="0"/>
    <x v="1"/>
    <x v="3"/>
    <x v="0"/>
    <x v="0"/>
    <x v="325"/>
    <n v="0"/>
    <n v="275"/>
    <x v="0"/>
    <x v="0"/>
    <x v="1"/>
    <x v="0"/>
    <n v="9504"/>
    <x v="2"/>
    <n v="2.8935185185185185E-2"/>
    <s v="Large"/>
    <n v="1"/>
    <s v="2"/>
  </r>
  <r>
    <s v="LP002263"/>
    <x v="0"/>
    <x v="1"/>
    <x v="0"/>
    <x v="0"/>
    <x v="0"/>
    <x v="3"/>
    <n v="2115"/>
    <n v="120"/>
    <x v="0"/>
    <x v="1"/>
    <x v="0"/>
    <x v="0"/>
    <n v="4698"/>
    <x v="0"/>
    <n v="2.554278416347382E-2"/>
    <s v="Medium"/>
    <n v="1"/>
    <s v="1"/>
  </r>
  <r>
    <s v="LP002265"/>
    <x v="0"/>
    <x v="1"/>
    <x v="2"/>
    <x v="1"/>
    <x v="0"/>
    <x v="326"/>
    <n v="1625"/>
    <n v="113"/>
    <x v="3"/>
    <x v="0"/>
    <x v="2"/>
    <x v="0"/>
    <n v="3618"/>
    <x v="1"/>
    <n v="3.1232725262576009E-2"/>
    <s v="Medium"/>
    <n v="1"/>
    <s v="3"/>
  </r>
  <r>
    <s v="LP002266"/>
    <x v="0"/>
    <x v="1"/>
    <x v="2"/>
    <x v="0"/>
    <x v="0"/>
    <x v="327"/>
    <n v="1400"/>
    <n v="113"/>
    <x v="0"/>
    <x v="0"/>
    <x v="0"/>
    <x v="0"/>
    <n v="4500"/>
    <x v="0"/>
    <n v="2.5111111111111112E-2"/>
    <s v="Medium"/>
    <n v="1"/>
    <s v="1"/>
  </r>
  <r>
    <s v="LP002272"/>
    <x v="0"/>
    <x v="1"/>
    <x v="2"/>
    <x v="0"/>
    <x v="0"/>
    <x v="328"/>
    <n v="484"/>
    <n v="135"/>
    <x v="0"/>
    <x v="1"/>
    <x v="2"/>
    <x v="0"/>
    <n v="3760"/>
    <x v="1"/>
    <n v="3.5904255319148939E-2"/>
    <s v="Medium"/>
    <n v="1"/>
    <s v="3"/>
  </r>
  <r>
    <s v="LP002277"/>
    <x v="1"/>
    <x v="0"/>
    <x v="0"/>
    <x v="0"/>
    <x v="0"/>
    <x v="329"/>
    <n v="0"/>
    <n v="71"/>
    <x v="0"/>
    <x v="1"/>
    <x v="0"/>
    <x v="1"/>
    <n v="3180"/>
    <x v="1"/>
    <n v="2.2327044025157231E-2"/>
    <s v="Small"/>
    <n v="0"/>
    <s v="1"/>
  </r>
  <r>
    <s v="LP002281"/>
    <x v="0"/>
    <x v="1"/>
    <x v="0"/>
    <x v="0"/>
    <x v="0"/>
    <x v="330"/>
    <n v="1459"/>
    <n v="95"/>
    <x v="0"/>
    <x v="0"/>
    <x v="0"/>
    <x v="0"/>
    <n v="4492"/>
    <x v="0"/>
    <n v="2.1148708815672306E-2"/>
    <s v="Small"/>
    <n v="1"/>
    <s v="1"/>
  </r>
  <r>
    <s v="LP002284"/>
    <x v="0"/>
    <x v="0"/>
    <x v="0"/>
    <x v="1"/>
    <x v="0"/>
    <x v="331"/>
    <n v="1666"/>
    <n v="109"/>
    <x v="0"/>
    <x v="0"/>
    <x v="1"/>
    <x v="0"/>
    <n v="5568"/>
    <x v="0"/>
    <n v="1.9576149425287355E-2"/>
    <s v="Medium"/>
    <n v="1"/>
    <s v="2"/>
  </r>
  <r>
    <s v="LP002287"/>
    <x v="1"/>
    <x v="0"/>
    <x v="0"/>
    <x v="0"/>
    <x v="0"/>
    <x v="332"/>
    <n v="1800"/>
    <n v="103"/>
    <x v="0"/>
    <x v="1"/>
    <x v="2"/>
    <x v="1"/>
    <n v="3300"/>
    <x v="1"/>
    <n v="3.1212121212121212E-2"/>
    <s v="Medium"/>
    <n v="0"/>
    <s v="3"/>
  </r>
  <r>
    <s v="LP002288"/>
    <x v="0"/>
    <x v="1"/>
    <x v="2"/>
    <x v="1"/>
    <x v="0"/>
    <x v="333"/>
    <n v="0"/>
    <n v="45"/>
    <x v="3"/>
    <x v="1"/>
    <x v="0"/>
    <x v="1"/>
    <n v="2889"/>
    <x v="1"/>
    <n v="1.5576323987538941E-2"/>
    <s v="Small"/>
    <n v="0"/>
    <s v="1"/>
  </r>
  <r>
    <s v="LP002296"/>
    <x v="0"/>
    <x v="0"/>
    <x v="0"/>
    <x v="1"/>
    <x v="0"/>
    <x v="334"/>
    <n v="0"/>
    <n v="65"/>
    <x v="5"/>
    <x v="0"/>
    <x v="1"/>
    <x v="1"/>
    <n v="2755"/>
    <x v="1"/>
    <n v="2.3593466424682397E-2"/>
    <s v="Small"/>
    <n v="0"/>
    <s v="2"/>
  </r>
  <r>
    <s v="LP002297"/>
    <x v="0"/>
    <x v="0"/>
    <x v="0"/>
    <x v="0"/>
    <x v="0"/>
    <x v="11"/>
    <n v="20000"/>
    <n v="103"/>
    <x v="0"/>
    <x v="0"/>
    <x v="2"/>
    <x v="0"/>
    <n v="22500"/>
    <x v="2"/>
    <n v="4.5777777777777778E-3"/>
    <s v="Medium"/>
    <n v="1"/>
    <s v="3"/>
  </r>
  <r>
    <s v="LP002300"/>
    <x v="1"/>
    <x v="0"/>
    <x v="0"/>
    <x v="1"/>
    <x v="0"/>
    <x v="335"/>
    <n v="0"/>
    <n v="53"/>
    <x v="0"/>
    <x v="0"/>
    <x v="2"/>
    <x v="0"/>
    <n v="1963"/>
    <x v="1"/>
    <n v="2.6999490575649515E-2"/>
    <s v="Small"/>
    <n v="1"/>
    <s v="3"/>
  </r>
  <r>
    <s v="LP002301"/>
    <x v="1"/>
    <x v="0"/>
    <x v="0"/>
    <x v="0"/>
    <x v="1"/>
    <x v="336"/>
    <n v="0"/>
    <n v="194"/>
    <x v="0"/>
    <x v="0"/>
    <x v="1"/>
    <x v="1"/>
    <n v="7441"/>
    <x v="0"/>
    <n v="2.6071764547775836E-2"/>
    <s v="Medium"/>
    <n v="0"/>
    <s v="2"/>
  </r>
  <r>
    <s v="LP002305"/>
    <x v="1"/>
    <x v="0"/>
    <x v="0"/>
    <x v="0"/>
    <x v="0"/>
    <x v="337"/>
    <n v="0"/>
    <n v="115"/>
    <x v="0"/>
    <x v="0"/>
    <x v="2"/>
    <x v="0"/>
    <n v="4547"/>
    <x v="0"/>
    <n v="2.5291400923685946E-2"/>
    <s v="Medium"/>
    <n v="1"/>
    <s v="3"/>
  </r>
  <r>
    <s v="LP002308"/>
    <x v="0"/>
    <x v="1"/>
    <x v="0"/>
    <x v="1"/>
    <x v="0"/>
    <x v="338"/>
    <n v="2400"/>
    <n v="115"/>
    <x v="0"/>
    <x v="0"/>
    <x v="0"/>
    <x v="0"/>
    <n v="4567"/>
    <x v="0"/>
    <n v="2.5180643748631486E-2"/>
    <s v="Medium"/>
    <n v="1"/>
    <s v="1"/>
  </r>
  <r>
    <s v="LP002314"/>
    <x v="1"/>
    <x v="0"/>
    <x v="0"/>
    <x v="1"/>
    <x v="0"/>
    <x v="339"/>
    <n v="0"/>
    <n v="66"/>
    <x v="0"/>
    <x v="0"/>
    <x v="1"/>
    <x v="0"/>
    <n v="2213"/>
    <x v="1"/>
    <n v="2.9823768639855398E-2"/>
    <s v="Small"/>
    <n v="1"/>
    <s v="2"/>
  </r>
  <r>
    <s v="LP002315"/>
    <x v="0"/>
    <x v="1"/>
    <x v="1"/>
    <x v="0"/>
    <x v="0"/>
    <x v="340"/>
    <n v="0"/>
    <n v="152"/>
    <x v="5"/>
    <x v="1"/>
    <x v="2"/>
    <x v="1"/>
    <n v="8300"/>
    <x v="2"/>
    <n v="1.8313253012048194E-2"/>
    <s v="Medium"/>
    <n v="0"/>
    <s v="3"/>
  </r>
  <r>
    <s v="LP002317"/>
    <x v="0"/>
    <x v="1"/>
    <x v="3"/>
    <x v="0"/>
    <x v="0"/>
    <x v="341"/>
    <n v="0"/>
    <n v="360"/>
    <x v="0"/>
    <x v="1"/>
    <x v="1"/>
    <x v="1"/>
    <n v="81000"/>
    <x v="2"/>
    <n v="4.4444444444444444E-3"/>
    <s v="Large"/>
    <n v="0"/>
    <s v="2"/>
  </r>
  <r>
    <s v="LP002318"/>
    <x v="1"/>
    <x v="0"/>
    <x v="1"/>
    <x v="1"/>
    <x v="1"/>
    <x v="342"/>
    <n v="0"/>
    <n v="62"/>
    <x v="0"/>
    <x v="0"/>
    <x v="2"/>
    <x v="1"/>
    <n v="3867"/>
    <x v="1"/>
    <n v="1.6033100594776313E-2"/>
    <s v="Small"/>
    <n v="0"/>
    <s v="3"/>
  </r>
  <r>
    <s v="LP002319"/>
    <x v="0"/>
    <x v="1"/>
    <x v="0"/>
    <x v="0"/>
    <x v="0"/>
    <x v="343"/>
    <n v="0"/>
    <n v="160"/>
    <x v="0"/>
    <x v="0"/>
    <x v="0"/>
    <x v="0"/>
    <n v="6256"/>
    <x v="0"/>
    <n v="2.557544757033248E-2"/>
    <s v="Medium"/>
    <n v="1"/>
    <s v="1"/>
  </r>
  <r>
    <s v="LP002328"/>
    <x v="0"/>
    <x v="1"/>
    <x v="0"/>
    <x v="1"/>
    <x v="0"/>
    <x v="344"/>
    <n v="0"/>
    <n v="218"/>
    <x v="0"/>
    <x v="1"/>
    <x v="1"/>
    <x v="1"/>
    <n v="6096"/>
    <x v="0"/>
    <n v="3.5761154855643046E-2"/>
    <s v="Large"/>
    <n v="0"/>
    <s v="2"/>
  </r>
  <r>
    <s v="LP002332"/>
    <x v="0"/>
    <x v="1"/>
    <x v="0"/>
    <x v="1"/>
    <x v="0"/>
    <x v="345"/>
    <n v="2033"/>
    <n v="110"/>
    <x v="0"/>
    <x v="0"/>
    <x v="1"/>
    <x v="0"/>
    <n v="4286"/>
    <x v="0"/>
    <n v="2.5664955669622024E-2"/>
    <s v="Medium"/>
    <n v="1"/>
    <s v="2"/>
  </r>
  <r>
    <s v="LP002335"/>
    <x v="1"/>
    <x v="1"/>
    <x v="0"/>
    <x v="1"/>
    <x v="0"/>
    <x v="346"/>
    <n v="3237"/>
    <n v="178"/>
    <x v="0"/>
    <x v="1"/>
    <x v="2"/>
    <x v="1"/>
    <n v="5386"/>
    <x v="0"/>
    <n v="3.3048644634236908E-2"/>
    <s v="Medium"/>
    <n v="0"/>
    <s v="3"/>
  </r>
  <r>
    <s v="LP002337"/>
    <x v="1"/>
    <x v="0"/>
    <x v="0"/>
    <x v="0"/>
    <x v="0"/>
    <x v="347"/>
    <n v="0"/>
    <n v="60"/>
    <x v="0"/>
    <x v="0"/>
    <x v="0"/>
    <x v="0"/>
    <n v="2995"/>
    <x v="1"/>
    <n v="2.003338898163606E-2"/>
    <s v="Small"/>
    <n v="1"/>
    <s v="1"/>
  </r>
  <r>
    <s v="LP002341"/>
    <x v="1"/>
    <x v="0"/>
    <x v="1"/>
    <x v="0"/>
    <x v="0"/>
    <x v="19"/>
    <n v="0"/>
    <n v="160"/>
    <x v="0"/>
    <x v="0"/>
    <x v="0"/>
    <x v="1"/>
    <n v="2600"/>
    <x v="1"/>
    <n v="6.1538461538461542E-2"/>
    <s v="Medium"/>
    <n v="0"/>
    <s v="1"/>
  </r>
  <r>
    <s v="LP002342"/>
    <x v="0"/>
    <x v="1"/>
    <x v="2"/>
    <x v="0"/>
    <x v="1"/>
    <x v="348"/>
    <n v="20000"/>
    <n v="239"/>
    <x v="0"/>
    <x v="0"/>
    <x v="0"/>
    <x v="1"/>
    <n v="21600"/>
    <x v="2"/>
    <n v="1.1064814814814816E-2"/>
    <s v="Large"/>
    <n v="0"/>
    <s v="1"/>
  </r>
  <r>
    <s v="LP002345"/>
    <x v="0"/>
    <x v="1"/>
    <x v="0"/>
    <x v="0"/>
    <x v="0"/>
    <x v="349"/>
    <n v="2773"/>
    <n v="112"/>
    <x v="0"/>
    <x v="0"/>
    <x v="1"/>
    <x v="0"/>
    <n v="3798"/>
    <x v="1"/>
    <n v="2.948920484465508E-2"/>
    <s v="Medium"/>
    <n v="1"/>
    <s v="2"/>
  </r>
  <r>
    <s v="LP002347"/>
    <x v="0"/>
    <x v="1"/>
    <x v="0"/>
    <x v="0"/>
    <x v="0"/>
    <x v="350"/>
    <n v="1417"/>
    <n v="138"/>
    <x v="0"/>
    <x v="0"/>
    <x v="2"/>
    <x v="0"/>
    <n v="4663"/>
    <x v="0"/>
    <n v="2.9594681535492173E-2"/>
    <s v="Medium"/>
    <n v="1"/>
    <s v="3"/>
  </r>
  <r>
    <s v="LP002348"/>
    <x v="0"/>
    <x v="1"/>
    <x v="0"/>
    <x v="0"/>
    <x v="0"/>
    <x v="351"/>
    <n v="0"/>
    <n v="138"/>
    <x v="0"/>
    <x v="0"/>
    <x v="1"/>
    <x v="0"/>
    <n v="5829"/>
    <x v="0"/>
    <n v="2.3674729799279464E-2"/>
    <s v="Medium"/>
    <n v="1"/>
    <s v="2"/>
  </r>
  <r>
    <s v="LP002357"/>
    <x v="1"/>
    <x v="0"/>
    <x v="0"/>
    <x v="1"/>
    <x v="0"/>
    <x v="352"/>
    <n v="0"/>
    <n v="80"/>
    <x v="0"/>
    <x v="1"/>
    <x v="0"/>
    <x v="1"/>
    <n v="2720"/>
    <x v="1"/>
    <n v="2.9411764705882353E-2"/>
    <s v="Small"/>
    <n v="0"/>
    <s v="1"/>
  </r>
  <r>
    <s v="LP002361"/>
    <x v="0"/>
    <x v="1"/>
    <x v="0"/>
    <x v="0"/>
    <x v="0"/>
    <x v="149"/>
    <n v="1719"/>
    <n v="100"/>
    <x v="0"/>
    <x v="0"/>
    <x v="0"/>
    <x v="0"/>
    <n v="3539"/>
    <x v="1"/>
    <n v="2.8256569652444195E-2"/>
    <s v="Medium"/>
    <n v="1"/>
    <s v="1"/>
  </r>
  <r>
    <s v="LP002362"/>
    <x v="0"/>
    <x v="1"/>
    <x v="1"/>
    <x v="0"/>
    <x v="0"/>
    <x v="353"/>
    <n v="1667"/>
    <n v="110"/>
    <x v="0"/>
    <x v="1"/>
    <x v="0"/>
    <x v="1"/>
    <n v="8917"/>
    <x v="2"/>
    <n v="1.233598743972188E-2"/>
    <s v="Medium"/>
    <n v="0"/>
    <s v="1"/>
  </r>
  <r>
    <s v="LP002364"/>
    <x v="0"/>
    <x v="1"/>
    <x v="0"/>
    <x v="0"/>
    <x v="0"/>
    <x v="354"/>
    <n v="0"/>
    <n v="96"/>
    <x v="0"/>
    <x v="0"/>
    <x v="2"/>
    <x v="0"/>
    <n v="14880"/>
    <x v="2"/>
    <n v="6.4516129032258064E-3"/>
    <s v="Small"/>
    <n v="1"/>
    <s v="3"/>
  </r>
  <r>
    <s v="LP002366"/>
    <x v="0"/>
    <x v="1"/>
    <x v="0"/>
    <x v="0"/>
    <x v="0"/>
    <x v="297"/>
    <n v="4300"/>
    <n v="121"/>
    <x v="0"/>
    <x v="0"/>
    <x v="1"/>
    <x v="0"/>
    <n v="6966"/>
    <x v="0"/>
    <n v="1.7370083261556129E-2"/>
    <s v="Medium"/>
    <n v="1"/>
    <s v="2"/>
  </r>
  <r>
    <s v="LP002367"/>
    <x v="1"/>
    <x v="0"/>
    <x v="1"/>
    <x v="1"/>
    <x v="0"/>
    <x v="355"/>
    <n v="0"/>
    <n v="81"/>
    <x v="0"/>
    <x v="0"/>
    <x v="1"/>
    <x v="1"/>
    <n v="4606"/>
    <x v="0"/>
    <n v="1.7585757707338254E-2"/>
    <s v="Small"/>
    <n v="0"/>
    <s v="2"/>
  </r>
  <r>
    <s v="LP002368"/>
    <x v="0"/>
    <x v="1"/>
    <x v="2"/>
    <x v="0"/>
    <x v="0"/>
    <x v="356"/>
    <n v="0"/>
    <n v="133"/>
    <x v="0"/>
    <x v="0"/>
    <x v="2"/>
    <x v="0"/>
    <n v="5935"/>
    <x v="0"/>
    <n v="2.2409435551811289E-2"/>
    <s v="Medium"/>
    <n v="1"/>
    <s v="3"/>
  </r>
  <r>
    <s v="LP002369"/>
    <x v="0"/>
    <x v="1"/>
    <x v="0"/>
    <x v="0"/>
    <x v="0"/>
    <x v="357"/>
    <n v="16.120000839999999"/>
    <n v="87"/>
    <x v="0"/>
    <x v="0"/>
    <x v="1"/>
    <x v="0"/>
    <n v="2936.1200008400001"/>
    <x v="1"/>
    <n v="2.9630941506174818E-2"/>
    <s v="Small"/>
    <n v="1"/>
    <s v="2"/>
  </r>
  <r>
    <s v="LP002370"/>
    <x v="0"/>
    <x v="0"/>
    <x v="0"/>
    <x v="1"/>
    <x v="0"/>
    <x v="358"/>
    <n v="0"/>
    <n v="60"/>
    <x v="3"/>
    <x v="0"/>
    <x v="0"/>
    <x v="0"/>
    <n v="2717"/>
    <x v="1"/>
    <n v="2.2083179977916818E-2"/>
    <s v="Small"/>
    <n v="1"/>
    <s v="1"/>
  </r>
  <r>
    <s v="LP002377"/>
    <x v="1"/>
    <x v="0"/>
    <x v="1"/>
    <x v="0"/>
    <x v="1"/>
    <x v="359"/>
    <n v="0"/>
    <n v="150"/>
    <x v="0"/>
    <x v="0"/>
    <x v="2"/>
    <x v="0"/>
    <n v="8624"/>
    <x v="2"/>
    <n v="1.7393320964749538E-2"/>
    <s v="Medium"/>
    <n v="1"/>
    <s v="3"/>
  </r>
  <r>
    <s v="LP002379"/>
    <x v="0"/>
    <x v="0"/>
    <x v="0"/>
    <x v="0"/>
    <x v="0"/>
    <x v="360"/>
    <n v="0"/>
    <n v="105"/>
    <x v="0"/>
    <x v="1"/>
    <x v="1"/>
    <x v="1"/>
    <n v="6500"/>
    <x v="0"/>
    <n v="1.6153846153846154E-2"/>
    <s v="Medium"/>
    <n v="0"/>
    <s v="2"/>
  </r>
  <r>
    <s v="LP002386"/>
    <x v="0"/>
    <x v="0"/>
    <x v="0"/>
    <x v="0"/>
    <x v="0"/>
    <x v="361"/>
    <n v="0"/>
    <n v="405"/>
    <x v="0"/>
    <x v="0"/>
    <x v="2"/>
    <x v="0"/>
    <n v="12876"/>
    <x v="2"/>
    <n v="3.1453867660764211E-2"/>
    <s v="Large"/>
    <n v="1"/>
    <s v="3"/>
  </r>
  <r>
    <s v="LP002387"/>
    <x v="0"/>
    <x v="1"/>
    <x v="0"/>
    <x v="0"/>
    <x v="0"/>
    <x v="362"/>
    <n v="2340"/>
    <n v="143"/>
    <x v="0"/>
    <x v="0"/>
    <x v="2"/>
    <x v="0"/>
    <n v="4765"/>
    <x v="0"/>
    <n v="3.0010493179433367E-2"/>
    <s v="Medium"/>
    <n v="1"/>
    <s v="3"/>
  </r>
  <r>
    <s v="LP002390"/>
    <x v="0"/>
    <x v="0"/>
    <x v="0"/>
    <x v="0"/>
    <x v="0"/>
    <x v="28"/>
    <n v="0"/>
    <n v="100"/>
    <x v="0"/>
    <x v="0"/>
    <x v="0"/>
    <x v="0"/>
    <n v="3750"/>
    <x v="1"/>
    <n v="2.6666666666666668E-2"/>
    <s v="Medium"/>
    <n v="1"/>
    <s v="1"/>
  </r>
  <r>
    <s v="LP002393"/>
    <x v="1"/>
    <x v="0"/>
    <x v="0"/>
    <x v="0"/>
    <x v="0"/>
    <x v="363"/>
    <n v="0"/>
    <n v="0"/>
    <x v="2"/>
    <x v="0"/>
    <x v="2"/>
    <x v="0"/>
    <n v="10047"/>
    <x v="2"/>
    <n v="0"/>
    <s v="Small"/>
    <n v="1"/>
    <s v="3"/>
  </r>
  <r>
    <s v="LP002398"/>
    <x v="0"/>
    <x v="0"/>
    <x v="0"/>
    <x v="0"/>
    <x v="0"/>
    <x v="364"/>
    <n v="1851"/>
    <n v="50"/>
    <x v="0"/>
    <x v="0"/>
    <x v="2"/>
    <x v="0"/>
    <n v="3777"/>
    <x v="1"/>
    <n v="1.3238019592268996E-2"/>
    <s v="Small"/>
    <n v="1"/>
    <s v="3"/>
  </r>
  <r>
    <s v="LP002401"/>
    <x v="0"/>
    <x v="1"/>
    <x v="0"/>
    <x v="0"/>
    <x v="0"/>
    <x v="339"/>
    <n v="1125"/>
    <n v="0"/>
    <x v="0"/>
    <x v="0"/>
    <x v="0"/>
    <x v="0"/>
    <n v="3338"/>
    <x v="1"/>
    <n v="0"/>
    <s v="Small"/>
    <n v="1"/>
    <s v="1"/>
  </r>
  <r>
    <s v="LP002403"/>
    <x v="0"/>
    <x v="0"/>
    <x v="0"/>
    <x v="0"/>
    <x v="1"/>
    <x v="365"/>
    <n v="0"/>
    <n v="187"/>
    <x v="0"/>
    <x v="1"/>
    <x v="0"/>
    <x v="1"/>
    <n v="10416"/>
    <x v="2"/>
    <n v="1.7953149001536099E-2"/>
    <s v="Medium"/>
    <n v="0"/>
    <s v="1"/>
  </r>
  <r>
    <s v="LP002407"/>
    <x v="1"/>
    <x v="1"/>
    <x v="0"/>
    <x v="1"/>
    <x v="1"/>
    <x v="366"/>
    <n v="0"/>
    <n v="138"/>
    <x v="0"/>
    <x v="0"/>
    <x v="1"/>
    <x v="0"/>
    <n v="7142"/>
    <x v="0"/>
    <n v="1.9322318678241388E-2"/>
    <s v="Medium"/>
    <n v="1"/>
    <s v="2"/>
  </r>
  <r>
    <s v="LP002408"/>
    <x v="0"/>
    <x v="0"/>
    <x v="0"/>
    <x v="0"/>
    <x v="0"/>
    <x v="367"/>
    <n v="5064"/>
    <n v="187"/>
    <x v="0"/>
    <x v="0"/>
    <x v="2"/>
    <x v="0"/>
    <n v="8724"/>
    <x v="2"/>
    <n v="2.1435121503897293E-2"/>
    <s v="Medium"/>
    <n v="1"/>
    <s v="3"/>
  </r>
  <r>
    <s v="LP002409"/>
    <x v="0"/>
    <x v="1"/>
    <x v="0"/>
    <x v="0"/>
    <x v="0"/>
    <x v="368"/>
    <n v="1833"/>
    <n v="180"/>
    <x v="0"/>
    <x v="0"/>
    <x v="1"/>
    <x v="0"/>
    <n v="9734"/>
    <x v="2"/>
    <n v="1.8491884117526197E-2"/>
    <s v="Medium"/>
    <n v="1"/>
    <s v="2"/>
  </r>
  <r>
    <s v="LP002418"/>
    <x v="0"/>
    <x v="0"/>
    <x v="3"/>
    <x v="1"/>
    <x v="0"/>
    <x v="369"/>
    <n v="1993"/>
    <n v="148"/>
    <x v="0"/>
    <x v="0"/>
    <x v="2"/>
    <x v="0"/>
    <n v="6700"/>
    <x v="0"/>
    <n v="2.208955223880597E-2"/>
    <s v="Medium"/>
    <n v="1"/>
    <s v="3"/>
  </r>
  <r>
    <s v="LP002422"/>
    <x v="0"/>
    <x v="0"/>
    <x v="1"/>
    <x v="0"/>
    <x v="0"/>
    <x v="370"/>
    <n v="0"/>
    <n v="152"/>
    <x v="0"/>
    <x v="0"/>
    <x v="2"/>
    <x v="0"/>
    <n v="37719"/>
    <x v="2"/>
    <n v="4.0297993053898563E-3"/>
    <s v="Medium"/>
    <n v="1"/>
    <s v="3"/>
  </r>
  <r>
    <s v="LP002424"/>
    <x v="0"/>
    <x v="1"/>
    <x v="0"/>
    <x v="0"/>
    <x v="0"/>
    <x v="95"/>
    <n v="8333"/>
    <n v="175"/>
    <x v="5"/>
    <x v="0"/>
    <x v="1"/>
    <x v="0"/>
    <n v="15666"/>
    <x v="2"/>
    <n v="1.1170688114387846E-2"/>
    <s v="Medium"/>
    <n v="1"/>
    <s v="2"/>
  </r>
  <r>
    <s v="LP002429"/>
    <x v="0"/>
    <x v="1"/>
    <x v="1"/>
    <x v="0"/>
    <x v="1"/>
    <x v="371"/>
    <n v="1210"/>
    <n v="130"/>
    <x v="0"/>
    <x v="0"/>
    <x v="1"/>
    <x v="0"/>
    <n v="4676"/>
    <x v="0"/>
    <n v="2.7801539777587682E-2"/>
    <s v="Medium"/>
    <n v="1"/>
    <s v="2"/>
  </r>
  <r>
    <s v="LP002434"/>
    <x v="0"/>
    <x v="1"/>
    <x v="2"/>
    <x v="1"/>
    <x v="0"/>
    <x v="91"/>
    <n v="0"/>
    <n v="110"/>
    <x v="0"/>
    <x v="0"/>
    <x v="1"/>
    <x v="0"/>
    <n v="4652"/>
    <x v="0"/>
    <n v="2.3645743766122097E-2"/>
    <s v="Medium"/>
    <n v="1"/>
    <s v="2"/>
  </r>
  <r>
    <s v="LP002435"/>
    <x v="0"/>
    <x v="1"/>
    <x v="0"/>
    <x v="0"/>
    <x v="0"/>
    <x v="372"/>
    <n v="1376"/>
    <n v="55"/>
    <x v="0"/>
    <x v="0"/>
    <x v="1"/>
    <x v="1"/>
    <n v="4915"/>
    <x v="0"/>
    <n v="1.1190233977619531E-2"/>
    <s v="Small"/>
    <n v="0"/>
    <s v="2"/>
  </r>
  <r>
    <s v="LP002443"/>
    <x v="0"/>
    <x v="1"/>
    <x v="2"/>
    <x v="0"/>
    <x v="0"/>
    <x v="373"/>
    <n v="1710"/>
    <n v="150"/>
    <x v="0"/>
    <x v="1"/>
    <x v="1"/>
    <x v="1"/>
    <n v="5050"/>
    <x v="0"/>
    <n v="2.9702970297029702E-2"/>
    <s v="Medium"/>
    <n v="0"/>
    <s v="2"/>
  </r>
  <r>
    <s v="LP002444"/>
    <x v="0"/>
    <x v="0"/>
    <x v="1"/>
    <x v="1"/>
    <x v="1"/>
    <x v="374"/>
    <n v="1542"/>
    <n v="190"/>
    <x v="0"/>
    <x v="1"/>
    <x v="2"/>
    <x v="1"/>
    <n v="4311"/>
    <x v="0"/>
    <n v="4.4073300858269542E-2"/>
    <s v="Medium"/>
    <n v="0"/>
    <s v="3"/>
  </r>
  <r>
    <s v="LP002446"/>
    <x v="0"/>
    <x v="1"/>
    <x v="2"/>
    <x v="1"/>
    <x v="0"/>
    <x v="375"/>
    <n v="1255"/>
    <n v="125"/>
    <x v="0"/>
    <x v="1"/>
    <x v="1"/>
    <x v="1"/>
    <n v="3564"/>
    <x v="1"/>
    <n v="3.5072951739618406E-2"/>
    <s v="Medium"/>
    <n v="0"/>
    <s v="2"/>
  </r>
  <r>
    <s v="LP002447"/>
    <x v="0"/>
    <x v="1"/>
    <x v="2"/>
    <x v="1"/>
    <x v="0"/>
    <x v="376"/>
    <n v="1456"/>
    <n v="60"/>
    <x v="5"/>
    <x v="1"/>
    <x v="0"/>
    <x v="0"/>
    <n v="3414"/>
    <x v="1"/>
    <n v="1.7574692442882251E-2"/>
    <s v="Small"/>
    <n v="1"/>
    <s v="1"/>
  </r>
  <r>
    <s v="LP002448"/>
    <x v="0"/>
    <x v="1"/>
    <x v="0"/>
    <x v="0"/>
    <x v="0"/>
    <x v="377"/>
    <n v="1733"/>
    <n v="149"/>
    <x v="0"/>
    <x v="1"/>
    <x v="1"/>
    <x v="1"/>
    <n v="5681"/>
    <x v="0"/>
    <n v="2.622777679985918E-2"/>
    <s v="Medium"/>
    <n v="0"/>
    <s v="2"/>
  </r>
  <r>
    <s v="LP002449"/>
    <x v="0"/>
    <x v="1"/>
    <x v="0"/>
    <x v="0"/>
    <x v="0"/>
    <x v="378"/>
    <n v="2466"/>
    <n v="90"/>
    <x v="3"/>
    <x v="1"/>
    <x v="1"/>
    <x v="0"/>
    <n v="4949"/>
    <x v="0"/>
    <n v="1.8185492018589614E-2"/>
    <s v="Small"/>
    <n v="1"/>
    <s v="2"/>
  </r>
  <r>
    <s v="LP002453"/>
    <x v="0"/>
    <x v="0"/>
    <x v="0"/>
    <x v="0"/>
    <x v="1"/>
    <x v="379"/>
    <n v="0"/>
    <n v="84"/>
    <x v="0"/>
    <x v="0"/>
    <x v="2"/>
    <x v="0"/>
    <n v="7085"/>
    <x v="0"/>
    <n v="1.1856033874382499E-2"/>
    <s v="Small"/>
    <n v="1"/>
    <s v="3"/>
  </r>
  <r>
    <s v="LP002455"/>
    <x v="0"/>
    <x v="1"/>
    <x v="2"/>
    <x v="0"/>
    <x v="0"/>
    <x v="380"/>
    <n v="0"/>
    <n v="96"/>
    <x v="0"/>
    <x v="0"/>
    <x v="2"/>
    <x v="0"/>
    <n v="3859"/>
    <x v="1"/>
    <n v="2.4876911116869654E-2"/>
    <s v="Small"/>
    <n v="1"/>
    <s v="3"/>
  </r>
  <r>
    <s v="LP002459"/>
    <x v="0"/>
    <x v="1"/>
    <x v="0"/>
    <x v="0"/>
    <x v="0"/>
    <x v="381"/>
    <n v="0"/>
    <n v="118"/>
    <x v="0"/>
    <x v="0"/>
    <x v="0"/>
    <x v="0"/>
    <n v="4301"/>
    <x v="0"/>
    <n v="2.7435480120902116E-2"/>
    <s v="Medium"/>
    <n v="1"/>
    <s v="1"/>
  </r>
  <r>
    <s v="LP002467"/>
    <x v="0"/>
    <x v="1"/>
    <x v="0"/>
    <x v="0"/>
    <x v="0"/>
    <x v="382"/>
    <n v="2569"/>
    <n v="173"/>
    <x v="0"/>
    <x v="0"/>
    <x v="0"/>
    <x v="1"/>
    <n v="6277"/>
    <x v="0"/>
    <n v="2.7560936753226063E-2"/>
    <s v="Medium"/>
    <n v="0"/>
    <s v="1"/>
  </r>
  <r>
    <s v="LP002472"/>
    <x v="0"/>
    <x v="0"/>
    <x v="2"/>
    <x v="0"/>
    <x v="0"/>
    <x v="383"/>
    <n v="0"/>
    <n v="136"/>
    <x v="0"/>
    <x v="0"/>
    <x v="1"/>
    <x v="0"/>
    <n v="4354"/>
    <x v="0"/>
    <n v="3.123564538355535E-2"/>
    <s v="Medium"/>
    <n v="1"/>
    <s v="2"/>
  </r>
  <r>
    <s v="LP002473"/>
    <x v="0"/>
    <x v="1"/>
    <x v="0"/>
    <x v="0"/>
    <x v="0"/>
    <x v="384"/>
    <n v="0"/>
    <n v="160"/>
    <x v="0"/>
    <x v="0"/>
    <x v="2"/>
    <x v="1"/>
    <n v="8334"/>
    <x v="2"/>
    <n v="1.9198464122870171E-2"/>
    <s v="Medium"/>
    <n v="0"/>
    <s v="3"/>
  </r>
  <r>
    <s v="LP002478"/>
    <x v="1"/>
    <x v="1"/>
    <x v="0"/>
    <x v="0"/>
    <x v="1"/>
    <x v="385"/>
    <n v="4083"/>
    <n v="160"/>
    <x v="0"/>
    <x v="0"/>
    <x v="2"/>
    <x v="0"/>
    <n v="6166"/>
    <x v="0"/>
    <n v="2.5948751216347713E-2"/>
    <s v="Medium"/>
    <n v="1"/>
    <s v="3"/>
  </r>
  <r>
    <s v="LP002484"/>
    <x v="0"/>
    <x v="1"/>
    <x v="3"/>
    <x v="0"/>
    <x v="0"/>
    <x v="386"/>
    <n v="0"/>
    <n v="128"/>
    <x v="3"/>
    <x v="0"/>
    <x v="0"/>
    <x v="0"/>
    <n v="7740"/>
    <x v="0"/>
    <n v="1.6537467700258397E-2"/>
    <s v="Medium"/>
    <n v="1"/>
    <s v="1"/>
  </r>
  <r>
    <s v="LP002487"/>
    <x v="0"/>
    <x v="1"/>
    <x v="0"/>
    <x v="0"/>
    <x v="0"/>
    <x v="387"/>
    <n v="2188"/>
    <n v="153"/>
    <x v="0"/>
    <x v="0"/>
    <x v="1"/>
    <x v="0"/>
    <n v="5203"/>
    <x v="0"/>
    <n v="2.9406111858543148E-2"/>
    <s v="Medium"/>
    <n v="1"/>
    <s v="2"/>
  </r>
  <r>
    <s v="LP002489"/>
    <x v="1"/>
    <x v="0"/>
    <x v="1"/>
    <x v="1"/>
    <x v="0"/>
    <x v="388"/>
    <n v="0"/>
    <n v="132"/>
    <x v="0"/>
    <x v="0"/>
    <x v="2"/>
    <x v="0"/>
    <n v="5191"/>
    <x v="0"/>
    <n v="2.5428626468888462E-2"/>
    <s v="Medium"/>
    <n v="1"/>
    <s v="3"/>
  </r>
  <r>
    <s v="LP002493"/>
    <x v="0"/>
    <x v="0"/>
    <x v="0"/>
    <x v="0"/>
    <x v="0"/>
    <x v="29"/>
    <n v="0"/>
    <n v="98"/>
    <x v="0"/>
    <x v="1"/>
    <x v="2"/>
    <x v="1"/>
    <n v="4166"/>
    <x v="0"/>
    <n v="2.3523763802208355E-2"/>
    <s v="Small"/>
    <n v="0"/>
    <s v="3"/>
  </r>
  <r>
    <s v="LP002494"/>
    <x v="0"/>
    <x v="0"/>
    <x v="0"/>
    <x v="0"/>
    <x v="0"/>
    <x v="4"/>
    <n v="0"/>
    <n v="140"/>
    <x v="0"/>
    <x v="0"/>
    <x v="1"/>
    <x v="0"/>
    <n v="6000"/>
    <x v="0"/>
    <n v="2.3333333333333334E-2"/>
    <s v="Medium"/>
    <n v="1"/>
    <s v="2"/>
  </r>
  <r>
    <s v="LP002500"/>
    <x v="0"/>
    <x v="1"/>
    <x v="3"/>
    <x v="1"/>
    <x v="0"/>
    <x v="389"/>
    <n v="1664"/>
    <n v="70"/>
    <x v="3"/>
    <x v="1"/>
    <x v="0"/>
    <x v="1"/>
    <n v="4611"/>
    <x v="0"/>
    <n v="1.5181088700932552E-2"/>
    <s v="Small"/>
    <n v="0"/>
    <s v="1"/>
  </r>
  <r>
    <s v="LP002501"/>
    <x v="1"/>
    <x v="1"/>
    <x v="0"/>
    <x v="0"/>
    <x v="0"/>
    <x v="390"/>
    <n v="0"/>
    <n v="110"/>
    <x v="0"/>
    <x v="0"/>
    <x v="2"/>
    <x v="0"/>
    <n v="16692"/>
    <x v="2"/>
    <n v="6.5899832254972439E-3"/>
    <s v="Medium"/>
    <n v="1"/>
    <s v="3"/>
  </r>
  <r>
    <s v="LP002502"/>
    <x v="1"/>
    <x v="1"/>
    <x v="2"/>
    <x v="1"/>
    <x v="0"/>
    <x v="391"/>
    <n v="2917"/>
    <n v="98"/>
    <x v="0"/>
    <x v="0"/>
    <x v="2"/>
    <x v="0"/>
    <n v="3127"/>
    <x v="1"/>
    <n v="3.1339942436840421E-2"/>
    <s v="Small"/>
    <n v="1"/>
    <s v="3"/>
  </r>
  <r>
    <s v="LP002505"/>
    <x v="0"/>
    <x v="1"/>
    <x v="0"/>
    <x v="0"/>
    <x v="0"/>
    <x v="235"/>
    <n v="2451"/>
    <n v="110"/>
    <x v="0"/>
    <x v="0"/>
    <x v="0"/>
    <x v="1"/>
    <n v="6784"/>
    <x v="0"/>
    <n v="1.6214622641509434E-2"/>
    <s v="Medium"/>
    <n v="0"/>
    <s v="1"/>
  </r>
  <r>
    <s v="LP002515"/>
    <x v="0"/>
    <x v="1"/>
    <x v="1"/>
    <x v="0"/>
    <x v="1"/>
    <x v="392"/>
    <n v="2079"/>
    <n v="162"/>
    <x v="0"/>
    <x v="0"/>
    <x v="2"/>
    <x v="0"/>
    <n v="5529"/>
    <x v="0"/>
    <n v="2.9300054259359741E-2"/>
    <s v="Medium"/>
    <n v="1"/>
    <s v="3"/>
  </r>
  <r>
    <s v="LP002517"/>
    <x v="0"/>
    <x v="1"/>
    <x v="1"/>
    <x v="1"/>
    <x v="0"/>
    <x v="393"/>
    <n v="1500"/>
    <n v="113"/>
    <x v="3"/>
    <x v="1"/>
    <x v="1"/>
    <x v="1"/>
    <n v="4153"/>
    <x v="0"/>
    <n v="2.7209246327955693E-2"/>
    <s v="Medium"/>
    <n v="0"/>
    <s v="2"/>
  </r>
  <r>
    <s v="LP002519"/>
    <x v="0"/>
    <x v="1"/>
    <x v="3"/>
    <x v="0"/>
    <x v="0"/>
    <x v="394"/>
    <n v="0"/>
    <n v="100"/>
    <x v="0"/>
    <x v="0"/>
    <x v="2"/>
    <x v="0"/>
    <n v="4691"/>
    <x v="0"/>
    <n v="2.1317416329140908E-2"/>
    <s v="Medium"/>
    <n v="1"/>
    <s v="3"/>
  </r>
  <r>
    <s v="LP002522"/>
    <x v="1"/>
    <x v="0"/>
    <x v="0"/>
    <x v="0"/>
    <x v="1"/>
    <x v="11"/>
    <n v="0"/>
    <n v="93"/>
    <x v="0"/>
    <x v="1"/>
    <x v="0"/>
    <x v="0"/>
    <n v="2500"/>
    <x v="1"/>
    <n v="3.7199999999999997E-2"/>
    <s v="Small"/>
    <n v="1"/>
    <s v="1"/>
  </r>
  <r>
    <s v="LP002524"/>
    <x v="0"/>
    <x v="0"/>
    <x v="2"/>
    <x v="0"/>
    <x v="0"/>
    <x v="395"/>
    <n v="4648"/>
    <n v="162"/>
    <x v="0"/>
    <x v="0"/>
    <x v="1"/>
    <x v="0"/>
    <n v="10180"/>
    <x v="2"/>
    <n v="1.5913555992141455E-2"/>
    <s v="Medium"/>
    <n v="1"/>
    <s v="2"/>
  </r>
  <r>
    <s v="LP002527"/>
    <x v="0"/>
    <x v="1"/>
    <x v="2"/>
    <x v="0"/>
    <x v="1"/>
    <x v="396"/>
    <n v="1014"/>
    <n v="150"/>
    <x v="0"/>
    <x v="0"/>
    <x v="1"/>
    <x v="0"/>
    <n v="17539"/>
    <x v="2"/>
    <n v="8.5523690062147221E-3"/>
    <s v="Medium"/>
    <n v="1"/>
    <s v="2"/>
  </r>
  <r>
    <s v="LP002529"/>
    <x v="0"/>
    <x v="1"/>
    <x v="2"/>
    <x v="0"/>
    <x v="0"/>
    <x v="397"/>
    <n v="1750"/>
    <n v="230"/>
    <x v="5"/>
    <x v="0"/>
    <x v="2"/>
    <x v="0"/>
    <n v="8450"/>
    <x v="2"/>
    <n v="2.7218934911242602E-2"/>
    <s v="Large"/>
    <n v="1"/>
    <s v="3"/>
  </r>
  <r>
    <s v="LP002530"/>
    <x v="0"/>
    <x v="1"/>
    <x v="2"/>
    <x v="0"/>
    <x v="0"/>
    <x v="398"/>
    <n v="1872"/>
    <n v="132"/>
    <x v="0"/>
    <x v="1"/>
    <x v="2"/>
    <x v="1"/>
    <n v="4745"/>
    <x v="0"/>
    <n v="2.7818756585879872E-2"/>
    <s v="Medium"/>
    <n v="0"/>
    <s v="3"/>
  </r>
  <r>
    <s v="LP002531"/>
    <x v="0"/>
    <x v="1"/>
    <x v="1"/>
    <x v="0"/>
    <x v="1"/>
    <x v="399"/>
    <n v="2250"/>
    <n v="86"/>
    <x v="0"/>
    <x v="0"/>
    <x v="2"/>
    <x v="0"/>
    <n v="18917"/>
    <x v="2"/>
    <n v="4.5461753977903471E-3"/>
    <s v="Small"/>
    <n v="1"/>
    <s v="3"/>
  </r>
  <r>
    <s v="LP002533"/>
    <x v="0"/>
    <x v="1"/>
    <x v="2"/>
    <x v="0"/>
    <x v="0"/>
    <x v="389"/>
    <n v="1603"/>
    <n v="0"/>
    <x v="0"/>
    <x v="0"/>
    <x v="0"/>
    <x v="1"/>
    <n v="4550"/>
    <x v="0"/>
    <n v="0"/>
    <s v="Small"/>
    <n v="0"/>
    <s v="1"/>
  </r>
  <r>
    <s v="LP002534"/>
    <x v="1"/>
    <x v="0"/>
    <x v="0"/>
    <x v="1"/>
    <x v="0"/>
    <x v="400"/>
    <n v="0"/>
    <n v="154"/>
    <x v="0"/>
    <x v="0"/>
    <x v="1"/>
    <x v="0"/>
    <n v="4350"/>
    <x v="0"/>
    <n v="3.5402298850574714E-2"/>
    <s v="Medium"/>
    <n v="1"/>
    <s v="2"/>
  </r>
  <r>
    <s v="LP002536"/>
    <x v="0"/>
    <x v="1"/>
    <x v="3"/>
    <x v="1"/>
    <x v="0"/>
    <x v="401"/>
    <n v="0"/>
    <n v="113"/>
    <x v="0"/>
    <x v="0"/>
    <x v="1"/>
    <x v="0"/>
    <n v="3095"/>
    <x v="1"/>
    <n v="3.6510500807754441E-2"/>
    <s v="Medium"/>
    <n v="1"/>
    <s v="2"/>
  </r>
  <r>
    <s v="LP002537"/>
    <x v="0"/>
    <x v="1"/>
    <x v="0"/>
    <x v="0"/>
    <x v="0"/>
    <x v="385"/>
    <n v="3150"/>
    <n v="128"/>
    <x v="0"/>
    <x v="0"/>
    <x v="2"/>
    <x v="0"/>
    <n v="5233"/>
    <x v="0"/>
    <n v="2.4460156697878845E-2"/>
    <s v="Medium"/>
    <n v="1"/>
    <s v="3"/>
  </r>
  <r>
    <s v="LP002541"/>
    <x v="0"/>
    <x v="1"/>
    <x v="0"/>
    <x v="0"/>
    <x v="0"/>
    <x v="402"/>
    <n v="0"/>
    <n v="234"/>
    <x v="0"/>
    <x v="0"/>
    <x v="2"/>
    <x v="0"/>
    <n v="10833"/>
    <x v="2"/>
    <n v="2.1600664635834949E-2"/>
    <s v="Large"/>
    <n v="1"/>
    <s v="3"/>
  </r>
  <r>
    <s v="LP002543"/>
    <x v="0"/>
    <x v="1"/>
    <x v="2"/>
    <x v="0"/>
    <x v="0"/>
    <x v="173"/>
    <n v="0"/>
    <n v="246"/>
    <x v="0"/>
    <x v="0"/>
    <x v="2"/>
    <x v="0"/>
    <n v="8333"/>
    <x v="2"/>
    <n v="2.9521180847233888E-2"/>
    <s v="Large"/>
    <n v="1"/>
    <s v="3"/>
  </r>
  <r>
    <s v="LP002544"/>
    <x v="0"/>
    <x v="1"/>
    <x v="1"/>
    <x v="1"/>
    <x v="0"/>
    <x v="376"/>
    <n v="2436"/>
    <n v="131"/>
    <x v="0"/>
    <x v="0"/>
    <x v="1"/>
    <x v="0"/>
    <n v="4394"/>
    <x v="0"/>
    <n v="2.9813381884387802E-2"/>
    <s v="Medium"/>
    <n v="1"/>
    <s v="2"/>
  </r>
  <r>
    <s v="LP002545"/>
    <x v="0"/>
    <x v="0"/>
    <x v="2"/>
    <x v="0"/>
    <x v="0"/>
    <x v="403"/>
    <n v="0"/>
    <n v="80"/>
    <x v="0"/>
    <x v="1"/>
    <x v="1"/>
    <x v="1"/>
    <n v="3547"/>
    <x v="1"/>
    <n v="2.255427121511136E-2"/>
    <s v="Small"/>
    <n v="0"/>
    <s v="2"/>
  </r>
  <r>
    <s v="LP002547"/>
    <x v="0"/>
    <x v="1"/>
    <x v="1"/>
    <x v="0"/>
    <x v="0"/>
    <x v="404"/>
    <n v="0"/>
    <n v="500"/>
    <x v="0"/>
    <x v="0"/>
    <x v="0"/>
    <x v="1"/>
    <n v="18333"/>
    <x v="2"/>
    <n v="2.7273223149511808E-2"/>
    <s v="Large"/>
    <n v="0"/>
    <s v="1"/>
  </r>
  <r>
    <s v="LP002555"/>
    <x v="0"/>
    <x v="1"/>
    <x v="2"/>
    <x v="0"/>
    <x v="1"/>
    <x v="1"/>
    <n v="2083"/>
    <n v="160"/>
    <x v="0"/>
    <x v="0"/>
    <x v="2"/>
    <x v="0"/>
    <n v="6666"/>
    <x v="0"/>
    <n v="2.4002400240024001E-2"/>
    <s v="Medium"/>
    <n v="1"/>
    <s v="3"/>
  </r>
  <r>
    <s v="LP002556"/>
    <x v="0"/>
    <x v="0"/>
    <x v="0"/>
    <x v="0"/>
    <x v="0"/>
    <x v="405"/>
    <n v="0"/>
    <n v="75"/>
    <x v="0"/>
    <x v="0"/>
    <x v="0"/>
    <x v="1"/>
    <n v="2435"/>
    <x v="1"/>
    <n v="3.0800821355236138E-2"/>
    <s v="Small"/>
    <n v="0"/>
    <s v="1"/>
  </r>
  <r>
    <s v="LP002560"/>
    <x v="0"/>
    <x v="0"/>
    <x v="0"/>
    <x v="1"/>
    <x v="0"/>
    <x v="406"/>
    <n v="2785"/>
    <n v="96"/>
    <x v="0"/>
    <x v="0"/>
    <x v="2"/>
    <x v="0"/>
    <n v="5484"/>
    <x v="0"/>
    <n v="1.7505470459518599E-2"/>
    <s v="Small"/>
    <n v="1"/>
    <s v="3"/>
  </r>
  <r>
    <s v="LP002562"/>
    <x v="0"/>
    <x v="1"/>
    <x v="1"/>
    <x v="1"/>
    <x v="0"/>
    <x v="407"/>
    <n v="1131"/>
    <n v="186"/>
    <x v="0"/>
    <x v="0"/>
    <x v="0"/>
    <x v="0"/>
    <n v="6464"/>
    <x v="0"/>
    <n v="2.8774752475247526E-2"/>
    <s v="Medium"/>
    <n v="1"/>
    <s v="1"/>
  </r>
  <r>
    <s v="LP002571"/>
    <x v="0"/>
    <x v="0"/>
    <x v="0"/>
    <x v="1"/>
    <x v="0"/>
    <x v="408"/>
    <n v="0"/>
    <n v="110"/>
    <x v="0"/>
    <x v="0"/>
    <x v="1"/>
    <x v="0"/>
    <n v="3691"/>
    <x v="1"/>
    <n v="2.9802221620157138E-2"/>
    <s v="Medium"/>
    <n v="1"/>
    <s v="2"/>
  </r>
  <r>
    <s v="LP002582"/>
    <x v="1"/>
    <x v="0"/>
    <x v="0"/>
    <x v="1"/>
    <x v="1"/>
    <x v="409"/>
    <n v="0"/>
    <n v="225"/>
    <x v="0"/>
    <x v="0"/>
    <x v="2"/>
    <x v="0"/>
    <n v="17263"/>
    <x v="2"/>
    <n v="1.3033655795632277E-2"/>
    <s v="Large"/>
    <n v="1"/>
    <s v="3"/>
  </r>
  <r>
    <s v="LP002585"/>
    <x v="0"/>
    <x v="1"/>
    <x v="0"/>
    <x v="0"/>
    <x v="0"/>
    <x v="410"/>
    <n v="2157"/>
    <n v="119"/>
    <x v="0"/>
    <x v="1"/>
    <x v="1"/>
    <x v="1"/>
    <n v="5754"/>
    <x v="0"/>
    <n v="2.0681265206812651E-2"/>
    <s v="Medium"/>
    <n v="0"/>
    <s v="2"/>
  </r>
  <r>
    <s v="LP002586"/>
    <x v="1"/>
    <x v="1"/>
    <x v="1"/>
    <x v="0"/>
    <x v="0"/>
    <x v="411"/>
    <n v="913"/>
    <n v="105"/>
    <x v="8"/>
    <x v="0"/>
    <x v="2"/>
    <x v="0"/>
    <n v="4239"/>
    <x v="0"/>
    <n v="2.4769992922859165E-2"/>
    <s v="Medium"/>
    <n v="1"/>
    <s v="3"/>
  </r>
  <r>
    <s v="LP002587"/>
    <x v="0"/>
    <x v="1"/>
    <x v="0"/>
    <x v="1"/>
    <x v="0"/>
    <x v="19"/>
    <n v="1700"/>
    <n v="107"/>
    <x v="0"/>
    <x v="0"/>
    <x v="1"/>
    <x v="0"/>
    <n v="4300"/>
    <x v="0"/>
    <n v="2.4883720930232559E-2"/>
    <s v="Medium"/>
    <n v="1"/>
    <s v="2"/>
  </r>
  <r>
    <s v="LP002588"/>
    <x v="0"/>
    <x v="1"/>
    <x v="0"/>
    <x v="0"/>
    <x v="0"/>
    <x v="412"/>
    <n v="2857"/>
    <n v="111"/>
    <x v="9"/>
    <x v="0"/>
    <x v="0"/>
    <x v="0"/>
    <n v="7482"/>
    <x v="0"/>
    <n v="1.483560545308741E-2"/>
    <s v="Medium"/>
    <n v="1"/>
    <s v="1"/>
  </r>
  <r>
    <s v="LP002600"/>
    <x v="0"/>
    <x v="1"/>
    <x v="1"/>
    <x v="0"/>
    <x v="1"/>
    <x v="413"/>
    <n v="0"/>
    <n v="95"/>
    <x v="0"/>
    <x v="0"/>
    <x v="2"/>
    <x v="0"/>
    <n v="2895"/>
    <x v="1"/>
    <n v="3.281519861830743E-2"/>
    <s v="Small"/>
    <n v="1"/>
    <s v="3"/>
  </r>
  <r>
    <s v="LP002602"/>
    <x v="0"/>
    <x v="0"/>
    <x v="0"/>
    <x v="0"/>
    <x v="0"/>
    <x v="414"/>
    <n v="4416"/>
    <n v="209"/>
    <x v="0"/>
    <x v="1"/>
    <x v="1"/>
    <x v="1"/>
    <n v="10699"/>
    <x v="2"/>
    <n v="1.9534535937938125E-2"/>
    <s v="Large"/>
    <n v="0"/>
    <s v="2"/>
  </r>
  <r>
    <s v="LP002603"/>
    <x v="1"/>
    <x v="0"/>
    <x v="0"/>
    <x v="0"/>
    <x v="0"/>
    <x v="415"/>
    <n v="3683"/>
    <n v="113"/>
    <x v="6"/>
    <x v="0"/>
    <x v="1"/>
    <x v="0"/>
    <n v="4328"/>
    <x v="0"/>
    <n v="2.6109057301293901E-2"/>
    <s v="Medium"/>
    <n v="1"/>
    <s v="2"/>
  </r>
  <r>
    <s v="LP002606"/>
    <x v="1"/>
    <x v="0"/>
    <x v="0"/>
    <x v="0"/>
    <x v="0"/>
    <x v="416"/>
    <n v="0"/>
    <n v="100"/>
    <x v="0"/>
    <x v="0"/>
    <x v="2"/>
    <x v="0"/>
    <n v="3159"/>
    <x v="1"/>
    <n v="3.1655587211142769E-2"/>
    <s v="Medium"/>
    <n v="1"/>
    <s v="3"/>
  </r>
  <r>
    <s v="LP002615"/>
    <x v="0"/>
    <x v="1"/>
    <x v="2"/>
    <x v="0"/>
    <x v="0"/>
    <x v="417"/>
    <n v="5624"/>
    <n v="208"/>
    <x v="0"/>
    <x v="0"/>
    <x v="2"/>
    <x v="0"/>
    <n v="10489"/>
    <x v="2"/>
    <n v="1.9830298407855849E-2"/>
    <s v="Large"/>
    <n v="1"/>
    <s v="3"/>
  </r>
  <r>
    <s v="LP002618"/>
    <x v="0"/>
    <x v="1"/>
    <x v="1"/>
    <x v="1"/>
    <x v="0"/>
    <x v="418"/>
    <n v="5302"/>
    <n v="138"/>
    <x v="0"/>
    <x v="1"/>
    <x v="1"/>
    <x v="1"/>
    <n v="9352"/>
    <x v="2"/>
    <n v="1.4756201881950384E-2"/>
    <s v="Medium"/>
    <n v="0"/>
    <s v="2"/>
  </r>
  <r>
    <s v="LP002619"/>
    <x v="0"/>
    <x v="1"/>
    <x v="0"/>
    <x v="1"/>
    <x v="0"/>
    <x v="419"/>
    <n v="1483"/>
    <n v="124"/>
    <x v="5"/>
    <x v="0"/>
    <x v="2"/>
    <x v="0"/>
    <n v="5297"/>
    <x v="0"/>
    <n v="2.34094770624882E-2"/>
    <s v="Medium"/>
    <n v="1"/>
    <s v="3"/>
  </r>
  <r>
    <s v="LP002622"/>
    <x v="0"/>
    <x v="1"/>
    <x v="2"/>
    <x v="0"/>
    <x v="0"/>
    <x v="17"/>
    <n v="4416"/>
    <n v="243"/>
    <x v="0"/>
    <x v="0"/>
    <x v="1"/>
    <x v="0"/>
    <n v="7926"/>
    <x v="0"/>
    <n v="3.0658591975775928E-2"/>
    <s v="Large"/>
    <n v="1"/>
    <s v="2"/>
  </r>
  <r>
    <s v="LP002624"/>
    <x v="0"/>
    <x v="1"/>
    <x v="0"/>
    <x v="0"/>
    <x v="0"/>
    <x v="420"/>
    <n v="6667"/>
    <n v="480"/>
    <x v="0"/>
    <x v="1"/>
    <x v="0"/>
    <x v="0"/>
    <n v="27500"/>
    <x v="2"/>
    <n v="1.7454545454545455E-2"/>
    <s v="Large"/>
    <n v="1"/>
    <s v="1"/>
  </r>
  <r>
    <s v="LP002625"/>
    <x v="0"/>
    <x v="0"/>
    <x v="0"/>
    <x v="0"/>
    <x v="0"/>
    <x v="421"/>
    <n v="0"/>
    <n v="96"/>
    <x v="0"/>
    <x v="0"/>
    <x v="0"/>
    <x v="1"/>
    <n v="3583"/>
    <x v="1"/>
    <n v="2.6793190064192018E-2"/>
    <s v="Small"/>
    <n v="0"/>
    <s v="1"/>
  </r>
  <r>
    <s v="LP002626"/>
    <x v="0"/>
    <x v="1"/>
    <x v="0"/>
    <x v="0"/>
    <x v="1"/>
    <x v="183"/>
    <n v="3013"/>
    <n v="188"/>
    <x v="0"/>
    <x v="0"/>
    <x v="0"/>
    <x v="0"/>
    <n v="5492"/>
    <x v="0"/>
    <n v="3.4231609613983978E-2"/>
    <s v="Medium"/>
    <n v="1"/>
    <s v="1"/>
  </r>
  <r>
    <s v="LP002634"/>
    <x v="1"/>
    <x v="0"/>
    <x v="1"/>
    <x v="0"/>
    <x v="0"/>
    <x v="422"/>
    <n v="0"/>
    <n v="40"/>
    <x v="0"/>
    <x v="0"/>
    <x v="0"/>
    <x v="0"/>
    <n v="13262"/>
    <x v="2"/>
    <n v="3.0161363293620871E-3"/>
    <s v="Small"/>
    <n v="1"/>
    <s v="1"/>
  </r>
  <r>
    <s v="LP002637"/>
    <x v="0"/>
    <x v="0"/>
    <x v="0"/>
    <x v="1"/>
    <x v="0"/>
    <x v="423"/>
    <n v="1287"/>
    <n v="100"/>
    <x v="0"/>
    <x v="0"/>
    <x v="1"/>
    <x v="1"/>
    <n v="4885"/>
    <x v="0"/>
    <n v="2.0470829068577279E-2"/>
    <s v="Medium"/>
    <n v="0"/>
    <s v="2"/>
  </r>
  <r>
    <s v="LP002640"/>
    <x v="0"/>
    <x v="1"/>
    <x v="1"/>
    <x v="0"/>
    <x v="0"/>
    <x v="424"/>
    <n v="2004"/>
    <n v="250"/>
    <x v="0"/>
    <x v="0"/>
    <x v="2"/>
    <x v="0"/>
    <n v="8069"/>
    <x v="2"/>
    <n v="3.0982773577890692E-2"/>
    <s v="Large"/>
    <n v="1"/>
    <s v="3"/>
  </r>
  <r>
    <s v="LP002643"/>
    <x v="0"/>
    <x v="1"/>
    <x v="2"/>
    <x v="0"/>
    <x v="0"/>
    <x v="425"/>
    <n v="2035"/>
    <n v="148"/>
    <x v="0"/>
    <x v="0"/>
    <x v="0"/>
    <x v="0"/>
    <n v="5318"/>
    <x v="0"/>
    <n v="2.7830011282437006E-2"/>
    <s v="Medium"/>
    <n v="1"/>
    <s v="1"/>
  </r>
  <r>
    <s v="LP002648"/>
    <x v="0"/>
    <x v="1"/>
    <x v="0"/>
    <x v="0"/>
    <x v="0"/>
    <x v="426"/>
    <n v="6666"/>
    <n v="70"/>
    <x v="3"/>
    <x v="0"/>
    <x v="2"/>
    <x v="1"/>
    <n v="8796"/>
    <x v="2"/>
    <n v="7.9581628012733059E-3"/>
    <s v="Small"/>
    <n v="0"/>
    <s v="3"/>
  </r>
  <r>
    <s v="LP002652"/>
    <x v="0"/>
    <x v="0"/>
    <x v="0"/>
    <x v="0"/>
    <x v="0"/>
    <x v="427"/>
    <n v="3666"/>
    <n v="311"/>
    <x v="0"/>
    <x v="0"/>
    <x v="1"/>
    <x v="1"/>
    <n v="9481"/>
    <x v="2"/>
    <n v="3.2802446999261679E-2"/>
    <s v="Large"/>
    <n v="0"/>
    <s v="2"/>
  </r>
  <r>
    <s v="LP002659"/>
    <x v="0"/>
    <x v="1"/>
    <x v="3"/>
    <x v="0"/>
    <x v="0"/>
    <x v="371"/>
    <n v="3428"/>
    <n v="150"/>
    <x v="0"/>
    <x v="0"/>
    <x v="1"/>
    <x v="0"/>
    <n v="6894"/>
    <x v="0"/>
    <n v="2.1758050478677109E-2"/>
    <s v="Medium"/>
    <n v="1"/>
    <s v="2"/>
  </r>
  <r>
    <s v="LP002670"/>
    <x v="1"/>
    <x v="1"/>
    <x v="2"/>
    <x v="0"/>
    <x v="0"/>
    <x v="428"/>
    <n v="1632"/>
    <n v="113"/>
    <x v="6"/>
    <x v="0"/>
    <x v="2"/>
    <x v="0"/>
    <n v="3663"/>
    <x v="1"/>
    <n v="3.0849030849030849E-2"/>
    <s v="Medium"/>
    <n v="1"/>
    <s v="3"/>
  </r>
  <r>
    <s v="LP002682"/>
    <x v="0"/>
    <x v="1"/>
    <x v="0"/>
    <x v="1"/>
    <x v="0"/>
    <x v="429"/>
    <n v="1800"/>
    <n v="123"/>
    <x v="0"/>
    <x v="1"/>
    <x v="2"/>
    <x v="1"/>
    <n v="4874"/>
    <x v="0"/>
    <n v="2.5235945835043086E-2"/>
    <s v="Medium"/>
    <n v="0"/>
    <s v="3"/>
  </r>
  <r>
    <s v="LP002683"/>
    <x v="0"/>
    <x v="0"/>
    <x v="0"/>
    <x v="0"/>
    <x v="0"/>
    <x v="430"/>
    <n v="1915"/>
    <n v="185"/>
    <x v="0"/>
    <x v="0"/>
    <x v="2"/>
    <x v="1"/>
    <n v="6598"/>
    <x v="0"/>
    <n v="2.8038799636253411E-2"/>
    <s v="Medium"/>
    <n v="0"/>
    <s v="3"/>
  </r>
  <r>
    <s v="LP002684"/>
    <x v="1"/>
    <x v="0"/>
    <x v="0"/>
    <x v="1"/>
    <x v="0"/>
    <x v="431"/>
    <n v="0"/>
    <n v="95"/>
    <x v="0"/>
    <x v="0"/>
    <x v="1"/>
    <x v="1"/>
    <n v="3400"/>
    <x v="1"/>
    <n v="2.7941176470588237E-2"/>
    <s v="Small"/>
    <n v="0"/>
    <s v="2"/>
  </r>
  <r>
    <s v="LP002689"/>
    <x v="0"/>
    <x v="1"/>
    <x v="2"/>
    <x v="1"/>
    <x v="0"/>
    <x v="432"/>
    <n v="1742"/>
    <n v="45"/>
    <x v="0"/>
    <x v="0"/>
    <x v="2"/>
    <x v="0"/>
    <n v="3934"/>
    <x v="1"/>
    <n v="1.1438739196746314E-2"/>
    <s v="Small"/>
    <n v="1"/>
    <s v="3"/>
  </r>
  <r>
    <s v="LP002690"/>
    <x v="0"/>
    <x v="0"/>
    <x v="0"/>
    <x v="0"/>
    <x v="0"/>
    <x v="11"/>
    <n v="0"/>
    <n v="55"/>
    <x v="0"/>
    <x v="0"/>
    <x v="2"/>
    <x v="0"/>
    <n v="2500"/>
    <x v="1"/>
    <n v="2.1999999999999999E-2"/>
    <s v="Small"/>
    <n v="1"/>
    <s v="3"/>
  </r>
  <r>
    <s v="LP002692"/>
    <x v="0"/>
    <x v="1"/>
    <x v="3"/>
    <x v="0"/>
    <x v="1"/>
    <x v="433"/>
    <n v="1424"/>
    <n v="100"/>
    <x v="0"/>
    <x v="0"/>
    <x v="1"/>
    <x v="0"/>
    <n v="7101"/>
    <x v="0"/>
    <n v="1.408252358822701E-2"/>
    <s v="Medium"/>
    <n v="1"/>
    <s v="2"/>
  </r>
  <r>
    <s v="LP002693"/>
    <x v="0"/>
    <x v="1"/>
    <x v="2"/>
    <x v="0"/>
    <x v="1"/>
    <x v="434"/>
    <n v="7166"/>
    <n v="480"/>
    <x v="0"/>
    <x v="0"/>
    <x v="1"/>
    <x v="0"/>
    <n v="15114"/>
    <x v="2"/>
    <n v="3.1758634378721715E-2"/>
    <s v="Large"/>
    <n v="1"/>
    <s v="2"/>
  </r>
  <r>
    <s v="LP002697"/>
    <x v="0"/>
    <x v="0"/>
    <x v="0"/>
    <x v="0"/>
    <x v="0"/>
    <x v="435"/>
    <n v="2087"/>
    <n v="0"/>
    <x v="0"/>
    <x v="0"/>
    <x v="2"/>
    <x v="1"/>
    <n v="6767"/>
    <x v="0"/>
    <n v="0"/>
    <s v="Small"/>
    <n v="0"/>
    <s v="3"/>
  </r>
  <r>
    <s v="LP002699"/>
    <x v="0"/>
    <x v="1"/>
    <x v="2"/>
    <x v="0"/>
    <x v="1"/>
    <x v="436"/>
    <n v="0"/>
    <n v="400"/>
    <x v="0"/>
    <x v="0"/>
    <x v="1"/>
    <x v="0"/>
    <n v="17500"/>
    <x v="2"/>
    <n v="2.2857142857142857E-2"/>
    <s v="Large"/>
    <n v="1"/>
    <s v="2"/>
  </r>
  <r>
    <s v="LP002705"/>
    <x v="0"/>
    <x v="1"/>
    <x v="0"/>
    <x v="0"/>
    <x v="0"/>
    <x v="437"/>
    <n v="0"/>
    <n v="110"/>
    <x v="0"/>
    <x v="0"/>
    <x v="2"/>
    <x v="0"/>
    <n v="3775"/>
    <x v="1"/>
    <n v="2.9139072847682121E-2"/>
    <s v="Medium"/>
    <n v="1"/>
    <s v="3"/>
  </r>
  <r>
    <s v="LP002706"/>
    <x v="0"/>
    <x v="1"/>
    <x v="1"/>
    <x v="1"/>
    <x v="0"/>
    <x v="438"/>
    <n v="1430"/>
    <n v="161"/>
    <x v="0"/>
    <x v="1"/>
    <x v="2"/>
    <x v="0"/>
    <n v="6715"/>
    <x v="0"/>
    <n v="2.3976172747580043E-2"/>
    <s v="Medium"/>
    <n v="1"/>
    <s v="3"/>
  </r>
  <r>
    <s v="LP002714"/>
    <x v="0"/>
    <x v="0"/>
    <x v="1"/>
    <x v="1"/>
    <x v="0"/>
    <x v="439"/>
    <n v="1302"/>
    <n v="94"/>
    <x v="0"/>
    <x v="0"/>
    <x v="2"/>
    <x v="0"/>
    <n v="3981"/>
    <x v="1"/>
    <n v="2.3612157749309221E-2"/>
    <s v="Small"/>
    <n v="1"/>
    <s v="3"/>
  </r>
  <r>
    <s v="LP002716"/>
    <x v="0"/>
    <x v="0"/>
    <x v="0"/>
    <x v="1"/>
    <x v="0"/>
    <x v="440"/>
    <n v="0"/>
    <n v="130"/>
    <x v="0"/>
    <x v="0"/>
    <x v="2"/>
    <x v="0"/>
    <n v="6783"/>
    <x v="0"/>
    <n v="1.9165560961226596E-2"/>
    <s v="Medium"/>
    <n v="1"/>
    <s v="3"/>
  </r>
  <r>
    <s v="LP002717"/>
    <x v="0"/>
    <x v="1"/>
    <x v="0"/>
    <x v="0"/>
    <x v="0"/>
    <x v="349"/>
    <n v="5500"/>
    <n v="216"/>
    <x v="0"/>
    <x v="0"/>
    <x v="1"/>
    <x v="0"/>
    <n v="6525"/>
    <x v="0"/>
    <n v="3.310344827586207E-2"/>
    <s v="Large"/>
    <n v="1"/>
    <s v="2"/>
  </r>
  <r>
    <s v="LP002720"/>
    <x v="0"/>
    <x v="1"/>
    <x v="3"/>
    <x v="0"/>
    <x v="0"/>
    <x v="441"/>
    <n v="0"/>
    <n v="100"/>
    <x v="0"/>
    <x v="0"/>
    <x v="0"/>
    <x v="0"/>
    <n v="4281"/>
    <x v="0"/>
    <n v="2.3359028264424198E-2"/>
    <s v="Medium"/>
    <n v="1"/>
    <s v="1"/>
  </r>
  <r>
    <s v="LP002723"/>
    <x v="0"/>
    <x v="0"/>
    <x v="2"/>
    <x v="0"/>
    <x v="0"/>
    <x v="442"/>
    <n v="0"/>
    <n v="110"/>
    <x v="0"/>
    <x v="1"/>
    <x v="1"/>
    <x v="1"/>
    <n v="3588"/>
    <x v="1"/>
    <n v="3.0657748049052396E-2"/>
    <s v="Medium"/>
    <n v="0"/>
    <s v="2"/>
  </r>
  <r>
    <s v="LP002729"/>
    <x v="0"/>
    <x v="0"/>
    <x v="1"/>
    <x v="0"/>
    <x v="0"/>
    <x v="443"/>
    <n v="0"/>
    <n v="196"/>
    <x v="0"/>
    <x v="0"/>
    <x v="2"/>
    <x v="1"/>
    <n v="11250"/>
    <x v="2"/>
    <n v="1.7422222222222221E-2"/>
    <s v="Medium"/>
    <n v="0"/>
    <s v="3"/>
  </r>
  <r>
    <s v="LP002731"/>
    <x v="1"/>
    <x v="0"/>
    <x v="0"/>
    <x v="1"/>
    <x v="1"/>
    <x v="444"/>
    <n v="0"/>
    <n v="125"/>
    <x v="0"/>
    <x v="0"/>
    <x v="0"/>
    <x v="0"/>
    <n v="18165"/>
    <x v="2"/>
    <n v="6.881365262868153E-3"/>
    <s v="Medium"/>
    <n v="1"/>
    <s v="1"/>
  </r>
  <r>
    <s v="LP002732"/>
    <x v="0"/>
    <x v="0"/>
    <x v="0"/>
    <x v="1"/>
    <x v="0"/>
    <x v="445"/>
    <n v="2042"/>
    <n v="126"/>
    <x v="0"/>
    <x v="0"/>
    <x v="1"/>
    <x v="0"/>
    <n v="4592"/>
    <x v="0"/>
    <n v="2.7439024390243903E-2"/>
    <s v="Medium"/>
    <n v="1"/>
    <s v="2"/>
  </r>
  <r>
    <s v="LP002734"/>
    <x v="0"/>
    <x v="1"/>
    <x v="0"/>
    <x v="0"/>
    <x v="0"/>
    <x v="446"/>
    <n v="3906"/>
    <n v="324"/>
    <x v="0"/>
    <x v="0"/>
    <x v="0"/>
    <x v="0"/>
    <n v="10039"/>
    <x v="2"/>
    <n v="3.2274130889530829E-2"/>
    <s v="Large"/>
    <n v="1"/>
    <s v="1"/>
  </r>
  <r>
    <s v="LP002738"/>
    <x v="0"/>
    <x v="0"/>
    <x v="2"/>
    <x v="0"/>
    <x v="0"/>
    <x v="447"/>
    <n v="0"/>
    <n v="107"/>
    <x v="0"/>
    <x v="0"/>
    <x v="2"/>
    <x v="0"/>
    <n v="3617"/>
    <x v="1"/>
    <n v="2.9582526956040918E-2"/>
    <s v="Medium"/>
    <n v="1"/>
    <s v="3"/>
  </r>
  <r>
    <s v="LP002739"/>
    <x v="0"/>
    <x v="1"/>
    <x v="0"/>
    <x v="1"/>
    <x v="0"/>
    <x v="267"/>
    <n v="536"/>
    <n v="66"/>
    <x v="0"/>
    <x v="0"/>
    <x v="1"/>
    <x v="1"/>
    <n v="3453"/>
    <x v="1"/>
    <n v="1.9113814074717638E-2"/>
    <s v="Small"/>
    <n v="0"/>
    <s v="2"/>
  </r>
  <r>
    <s v="LP002740"/>
    <x v="0"/>
    <x v="1"/>
    <x v="3"/>
    <x v="0"/>
    <x v="0"/>
    <x v="448"/>
    <n v="0"/>
    <n v="157"/>
    <x v="3"/>
    <x v="0"/>
    <x v="1"/>
    <x v="0"/>
    <n v="6417"/>
    <x v="0"/>
    <n v="2.4466261492909459E-2"/>
    <s v="Medium"/>
    <n v="1"/>
    <s v="2"/>
  </r>
  <r>
    <s v="LP002741"/>
    <x v="1"/>
    <x v="1"/>
    <x v="1"/>
    <x v="0"/>
    <x v="0"/>
    <x v="449"/>
    <n v="2845"/>
    <n v="140"/>
    <x v="3"/>
    <x v="0"/>
    <x v="2"/>
    <x v="0"/>
    <n v="7453"/>
    <x v="0"/>
    <n v="1.8784382128002146E-2"/>
    <s v="Medium"/>
    <n v="1"/>
    <s v="3"/>
  </r>
  <r>
    <s v="LP002743"/>
    <x v="1"/>
    <x v="0"/>
    <x v="0"/>
    <x v="0"/>
    <x v="0"/>
    <x v="450"/>
    <n v="0"/>
    <n v="99"/>
    <x v="0"/>
    <x v="1"/>
    <x v="2"/>
    <x v="1"/>
    <n v="2138"/>
    <x v="1"/>
    <n v="4.6304957904583721E-2"/>
    <s v="Small"/>
    <n v="0"/>
    <s v="3"/>
  </r>
  <r>
    <s v="LP002753"/>
    <x v="1"/>
    <x v="0"/>
    <x v="1"/>
    <x v="0"/>
    <x v="0"/>
    <x v="451"/>
    <n v="0"/>
    <n v="95"/>
    <x v="0"/>
    <x v="0"/>
    <x v="2"/>
    <x v="0"/>
    <n v="3652"/>
    <x v="1"/>
    <n v="2.6013143483023003E-2"/>
    <s v="Small"/>
    <n v="1"/>
    <s v="3"/>
  </r>
  <r>
    <s v="LP002755"/>
    <x v="0"/>
    <x v="1"/>
    <x v="1"/>
    <x v="1"/>
    <x v="0"/>
    <x v="452"/>
    <n v="2524"/>
    <n v="128"/>
    <x v="0"/>
    <x v="0"/>
    <x v="0"/>
    <x v="0"/>
    <n v="4763"/>
    <x v="0"/>
    <n v="2.6873819021625025E-2"/>
    <s v="Medium"/>
    <n v="1"/>
    <s v="1"/>
  </r>
  <r>
    <s v="LP002757"/>
    <x v="1"/>
    <x v="1"/>
    <x v="0"/>
    <x v="1"/>
    <x v="0"/>
    <x v="453"/>
    <n v="663"/>
    <n v="102"/>
    <x v="0"/>
    <x v="1"/>
    <x v="2"/>
    <x v="0"/>
    <n v="3680"/>
    <x v="1"/>
    <n v="2.7717391304347826E-2"/>
    <s v="Medium"/>
    <n v="1"/>
    <s v="3"/>
  </r>
  <r>
    <s v="LP002767"/>
    <x v="0"/>
    <x v="1"/>
    <x v="0"/>
    <x v="0"/>
    <x v="0"/>
    <x v="454"/>
    <n v="1950"/>
    <n v="155"/>
    <x v="0"/>
    <x v="0"/>
    <x v="1"/>
    <x v="0"/>
    <n v="4718"/>
    <x v="0"/>
    <n v="3.2852903772785082E-2"/>
    <s v="Medium"/>
    <n v="1"/>
    <s v="2"/>
  </r>
  <r>
    <s v="LP002768"/>
    <x v="0"/>
    <x v="0"/>
    <x v="0"/>
    <x v="1"/>
    <x v="0"/>
    <x v="455"/>
    <n v="0"/>
    <n v="80"/>
    <x v="7"/>
    <x v="0"/>
    <x v="2"/>
    <x v="1"/>
    <n v="3358"/>
    <x v="1"/>
    <n v="2.3823704586063133E-2"/>
    <s v="Small"/>
    <n v="0"/>
    <s v="3"/>
  </r>
  <r>
    <s v="LP002772"/>
    <x v="0"/>
    <x v="0"/>
    <x v="0"/>
    <x v="0"/>
    <x v="0"/>
    <x v="456"/>
    <n v="1783"/>
    <n v="145"/>
    <x v="0"/>
    <x v="0"/>
    <x v="1"/>
    <x v="0"/>
    <n v="4309"/>
    <x v="0"/>
    <n v="3.3650498955674173E-2"/>
    <s v="Medium"/>
    <n v="1"/>
    <s v="2"/>
  </r>
  <r>
    <s v="LP002776"/>
    <x v="1"/>
    <x v="0"/>
    <x v="0"/>
    <x v="0"/>
    <x v="0"/>
    <x v="192"/>
    <n v="0"/>
    <n v="103"/>
    <x v="0"/>
    <x v="1"/>
    <x v="2"/>
    <x v="1"/>
    <n v="5000"/>
    <x v="0"/>
    <n v="2.06E-2"/>
    <s v="Medium"/>
    <n v="0"/>
    <s v="3"/>
  </r>
  <r>
    <s v="LP002777"/>
    <x v="0"/>
    <x v="1"/>
    <x v="0"/>
    <x v="0"/>
    <x v="0"/>
    <x v="457"/>
    <n v="2016"/>
    <n v="110"/>
    <x v="0"/>
    <x v="0"/>
    <x v="1"/>
    <x v="0"/>
    <n v="4801"/>
    <x v="0"/>
    <n v="2.2911893355550928E-2"/>
    <s v="Medium"/>
    <n v="1"/>
    <s v="2"/>
  </r>
  <r>
    <s v="LP002778"/>
    <x v="0"/>
    <x v="1"/>
    <x v="2"/>
    <x v="0"/>
    <x v="1"/>
    <x v="458"/>
    <n v="0"/>
    <n v="0"/>
    <x v="0"/>
    <x v="1"/>
    <x v="1"/>
    <x v="1"/>
    <n v="6633"/>
    <x v="0"/>
    <n v="0"/>
    <s v="Small"/>
    <n v="0"/>
    <s v="2"/>
  </r>
  <r>
    <s v="LP002784"/>
    <x v="0"/>
    <x v="1"/>
    <x v="1"/>
    <x v="1"/>
    <x v="0"/>
    <x v="459"/>
    <n v="2375"/>
    <n v="0"/>
    <x v="0"/>
    <x v="0"/>
    <x v="1"/>
    <x v="0"/>
    <n v="4867"/>
    <x v="0"/>
    <n v="0"/>
    <s v="Small"/>
    <n v="1"/>
    <s v="2"/>
  </r>
  <r>
    <s v="LP002785"/>
    <x v="0"/>
    <x v="1"/>
    <x v="1"/>
    <x v="0"/>
    <x v="0"/>
    <x v="70"/>
    <n v="3250"/>
    <n v="158"/>
    <x v="0"/>
    <x v="0"/>
    <x v="0"/>
    <x v="0"/>
    <n v="6583"/>
    <x v="0"/>
    <n v="2.4001215251405136E-2"/>
    <s v="Medium"/>
    <n v="1"/>
    <s v="1"/>
  </r>
  <r>
    <s v="LP002788"/>
    <x v="0"/>
    <x v="1"/>
    <x v="0"/>
    <x v="1"/>
    <x v="0"/>
    <x v="460"/>
    <n v="2333"/>
    <n v="181"/>
    <x v="0"/>
    <x v="1"/>
    <x v="0"/>
    <x v="1"/>
    <n v="4787"/>
    <x v="0"/>
    <n v="3.7810737413829121E-2"/>
    <s v="Medium"/>
    <n v="0"/>
    <s v="1"/>
  </r>
  <r>
    <s v="LP002789"/>
    <x v="0"/>
    <x v="1"/>
    <x v="0"/>
    <x v="0"/>
    <x v="0"/>
    <x v="461"/>
    <n v="4266"/>
    <n v="132"/>
    <x v="3"/>
    <x v="1"/>
    <x v="1"/>
    <x v="1"/>
    <n v="7859"/>
    <x v="0"/>
    <n v="1.6796030029265809E-2"/>
    <s v="Medium"/>
    <n v="0"/>
    <s v="2"/>
  </r>
  <r>
    <s v="LP002792"/>
    <x v="0"/>
    <x v="1"/>
    <x v="1"/>
    <x v="0"/>
    <x v="0"/>
    <x v="462"/>
    <n v="1032"/>
    <n v="26"/>
    <x v="0"/>
    <x v="0"/>
    <x v="2"/>
    <x v="0"/>
    <n v="6500"/>
    <x v="0"/>
    <n v="4.0000000000000001E-3"/>
    <s v="Small"/>
    <n v="1"/>
    <s v="3"/>
  </r>
  <r>
    <s v="LP002794"/>
    <x v="1"/>
    <x v="0"/>
    <x v="0"/>
    <x v="0"/>
    <x v="0"/>
    <x v="463"/>
    <n v="1625"/>
    <n v="84"/>
    <x v="0"/>
    <x v="1"/>
    <x v="0"/>
    <x v="0"/>
    <n v="4292"/>
    <x v="0"/>
    <n v="1.9571295433364399E-2"/>
    <s v="Small"/>
    <n v="1"/>
    <s v="1"/>
  </r>
  <r>
    <s v="LP002795"/>
    <x v="0"/>
    <x v="1"/>
    <x v="3"/>
    <x v="0"/>
    <x v="1"/>
    <x v="464"/>
    <n v="0"/>
    <n v="260"/>
    <x v="0"/>
    <x v="0"/>
    <x v="2"/>
    <x v="0"/>
    <n v="10139"/>
    <x v="2"/>
    <n v="2.5643554591182564E-2"/>
    <s v="Large"/>
    <n v="1"/>
    <s v="3"/>
  </r>
  <r>
    <s v="LP002798"/>
    <x v="0"/>
    <x v="1"/>
    <x v="0"/>
    <x v="0"/>
    <x v="0"/>
    <x v="465"/>
    <n v="2669"/>
    <n v="162"/>
    <x v="0"/>
    <x v="0"/>
    <x v="2"/>
    <x v="0"/>
    <n v="6556"/>
    <x v="0"/>
    <n v="2.4710189139719341E-2"/>
    <s v="Medium"/>
    <n v="1"/>
    <s v="3"/>
  </r>
  <r>
    <s v="LP002804"/>
    <x v="1"/>
    <x v="1"/>
    <x v="0"/>
    <x v="0"/>
    <x v="0"/>
    <x v="466"/>
    <n v="2306"/>
    <n v="182"/>
    <x v="0"/>
    <x v="0"/>
    <x v="2"/>
    <x v="0"/>
    <n v="6486"/>
    <x v="0"/>
    <n v="2.8060437866173297E-2"/>
    <s v="Medium"/>
    <n v="1"/>
    <s v="3"/>
  </r>
  <r>
    <s v="LP002807"/>
    <x v="0"/>
    <x v="1"/>
    <x v="2"/>
    <x v="1"/>
    <x v="0"/>
    <x v="467"/>
    <n v="242"/>
    <n v="108"/>
    <x v="0"/>
    <x v="0"/>
    <x v="2"/>
    <x v="0"/>
    <n v="3917"/>
    <x v="1"/>
    <n v="2.7572121521572634E-2"/>
    <s v="Medium"/>
    <n v="1"/>
    <s v="3"/>
  </r>
  <r>
    <s v="LP002813"/>
    <x v="1"/>
    <x v="1"/>
    <x v="1"/>
    <x v="0"/>
    <x v="1"/>
    <x v="468"/>
    <n v="0"/>
    <n v="600"/>
    <x v="0"/>
    <x v="0"/>
    <x v="2"/>
    <x v="0"/>
    <n v="19484"/>
    <x v="2"/>
    <n v="3.079449804968179E-2"/>
    <s v="Large"/>
    <n v="1"/>
    <s v="3"/>
  </r>
  <r>
    <s v="LP002820"/>
    <x v="0"/>
    <x v="1"/>
    <x v="0"/>
    <x v="0"/>
    <x v="0"/>
    <x v="469"/>
    <n v="2054"/>
    <n v="211"/>
    <x v="0"/>
    <x v="0"/>
    <x v="1"/>
    <x v="0"/>
    <n v="7977"/>
    <x v="0"/>
    <n v="2.6451046759433369E-2"/>
    <s v="Large"/>
    <n v="1"/>
    <s v="2"/>
  </r>
  <r>
    <s v="LP002821"/>
    <x v="0"/>
    <x v="0"/>
    <x v="0"/>
    <x v="1"/>
    <x v="1"/>
    <x v="470"/>
    <n v="0"/>
    <n v="132"/>
    <x v="0"/>
    <x v="0"/>
    <x v="2"/>
    <x v="0"/>
    <n v="5800"/>
    <x v="0"/>
    <n v="2.2758620689655173E-2"/>
    <s v="Medium"/>
    <n v="1"/>
    <s v="3"/>
  </r>
  <r>
    <s v="LP002832"/>
    <x v="0"/>
    <x v="1"/>
    <x v="2"/>
    <x v="0"/>
    <x v="0"/>
    <x v="471"/>
    <n v="0"/>
    <n v="258"/>
    <x v="0"/>
    <x v="1"/>
    <x v="0"/>
    <x v="1"/>
    <n v="8799"/>
    <x v="2"/>
    <n v="2.9321513808387316E-2"/>
    <s v="Large"/>
    <n v="0"/>
    <s v="1"/>
  </r>
  <r>
    <s v="LP002833"/>
    <x v="0"/>
    <x v="1"/>
    <x v="0"/>
    <x v="1"/>
    <x v="0"/>
    <x v="472"/>
    <n v="0"/>
    <n v="120"/>
    <x v="0"/>
    <x v="0"/>
    <x v="1"/>
    <x v="0"/>
    <n v="4467"/>
    <x v="0"/>
    <n v="2.6863666890530557E-2"/>
    <s v="Medium"/>
    <n v="1"/>
    <s v="2"/>
  </r>
  <r>
    <s v="LP002836"/>
    <x v="0"/>
    <x v="0"/>
    <x v="0"/>
    <x v="0"/>
    <x v="0"/>
    <x v="70"/>
    <n v="0"/>
    <n v="70"/>
    <x v="0"/>
    <x v="0"/>
    <x v="0"/>
    <x v="0"/>
    <n v="3333"/>
    <x v="1"/>
    <n v="2.1002100210021003E-2"/>
    <s v="Small"/>
    <n v="1"/>
    <s v="1"/>
  </r>
  <r>
    <s v="LP002837"/>
    <x v="0"/>
    <x v="1"/>
    <x v="3"/>
    <x v="0"/>
    <x v="0"/>
    <x v="431"/>
    <n v="2500"/>
    <n v="123"/>
    <x v="0"/>
    <x v="1"/>
    <x v="1"/>
    <x v="1"/>
    <n v="5900"/>
    <x v="0"/>
    <n v="2.0847457627118645E-2"/>
    <s v="Medium"/>
    <n v="0"/>
    <s v="2"/>
  </r>
  <r>
    <s v="LP002840"/>
    <x v="1"/>
    <x v="0"/>
    <x v="0"/>
    <x v="0"/>
    <x v="0"/>
    <x v="289"/>
    <n v="0"/>
    <n v="9"/>
    <x v="0"/>
    <x v="0"/>
    <x v="0"/>
    <x v="1"/>
    <n v="2378"/>
    <x v="1"/>
    <n v="3.7846930193439865E-3"/>
    <s v="Small"/>
    <n v="0"/>
    <s v="1"/>
  </r>
  <r>
    <s v="LP002841"/>
    <x v="0"/>
    <x v="1"/>
    <x v="0"/>
    <x v="0"/>
    <x v="0"/>
    <x v="276"/>
    <n v="2064"/>
    <n v="104"/>
    <x v="0"/>
    <x v="1"/>
    <x v="0"/>
    <x v="1"/>
    <n v="5230"/>
    <x v="0"/>
    <n v="1.9885277246653919E-2"/>
    <s v="Medium"/>
    <n v="0"/>
    <s v="1"/>
  </r>
  <r>
    <s v="LP002842"/>
    <x v="0"/>
    <x v="1"/>
    <x v="1"/>
    <x v="0"/>
    <x v="0"/>
    <x v="473"/>
    <n v="1750"/>
    <n v="186"/>
    <x v="0"/>
    <x v="0"/>
    <x v="0"/>
    <x v="0"/>
    <n v="5167"/>
    <x v="0"/>
    <n v="3.5997677569189084E-2"/>
    <s v="Medium"/>
    <n v="1"/>
    <s v="1"/>
  </r>
  <r>
    <s v="LP002847"/>
    <x v="0"/>
    <x v="1"/>
    <x v="0"/>
    <x v="0"/>
    <x v="0"/>
    <x v="474"/>
    <n v="1451"/>
    <n v="165"/>
    <x v="0"/>
    <x v="1"/>
    <x v="0"/>
    <x v="1"/>
    <n v="6567"/>
    <x v="0"/>
    <n v="2.5125628140703519E-2"/>
    <s v="Medium"/>
    <n v="0"/>
    <s v="1"/>
  </r>
  <r>
    <s v="LP002855"/>
    <x v="0"/>
    <x v="1"/>
    <x v="2"/>
    <x v="0"/>
    <x v="0"/>
    <x v="475"/>
    <n v="0"/>
    <n v="275"/>
    <x v="0"/>
    <x v="0"/>
    <x v="0"/>
    <x v="0"/>
    <n v="16666"/>
    <x v="2"/>
    <n v="1.6500660026401055E-2"/>
    <s v="Large"/>
    <n v="1"/>
    <s v="1"/>
  </r>
  <r>
    <s v="LP002862"/>
    <x v="0"/>
    <x v="1"/>
    <x v="2"/>
    <x v="1"/>
    <x v="0"/>
    <x v="476"/>
    <n v="1625"/>
    <n v="187"/>
    <x v="6"/>
    <x v="0"/>
    <x v="2"/>
    <x v="1"/>
    <n v="7750"/>
    <x v="0"/>
    <n v="2.4129032258064516E-2"/>
    <s v="Medium"/>
    <n v="0"/>
    <s v="3"/>
  </r>
  <r>
    <s v="LP002863"/>
    <x v="0"/>
    <x v="1"/>
    <x v="3"/>
    <x v="0"/>
    <x v="0"/>
    <x v="477"/>
    <n v="0"/>
    <n v="150"/>
    <x v="0"/>
    <x v="0"/>
    <x v="2"/>
    <x v="1"/>
    <n v="6406"/>
    <x v="0"/>
    <n v="2.3415547923821417E-2"/>
    <s v="Medium"/>
    <n v="0"/>
    <s v="3"/>
  </r>
  <r>
    <s v="LP002868"/>
    <x v="0"/>
    <x v="1"/>
    <x v="2"/>
    <x v="0"/>
    <x v="0"/>
    <x v="416"/>
    <n v="461"/>
    <n v="108"/>
    <x v="8"/>
    <x v="0"/>
    <x v="0"/>
    <x v="0"/>
    <n v="3620"/>
    <x v="1"/>
    <n v="2.9834254143646408E-2"/>
    <s v="Medium"/>
    <n v="1"/>
    <s v="1"/>
  </r>
  <r>
    <s v="LP002872"/>
    <x v="0"/>
    <x v="1"/>
    <x v="0"/>
    <x v="0"/>
    <x v="0"/>
    <x v="478"/>
    <n v="2210"/>
    <n v="136"/>
    <x v="0"/>
    <x v="1"/>
    <x v="2"/>
    <x v="1"/>
    <n v="5297"/>
    <x v="0"/>
    <n v="2.5674910326599961E-2"/>
    <s v="Medium"/>
    <n v="0"/>
    <s v="3"/>
  </r>
  <r>
    <s v="LP002874"/>
    <x v="0"/>
    <x v="0"/>
    <x v="0"/>
    <x v="0"/>
    <x v="0"/>
    <x v="479"/>
    <n v="2739"/>
    <n v="110"/>
    <x v="0"/>
    <x v="0"/>
    <x v="0"/>
    <x v="0"/>
    <n v="5968"/>
    <x v="0"/>
    <n v="1.8431635388739945E-2"/>
    <s v="Medium"/>
    <n v="1"/>
    <s v="1"/>
  </r>
  <r>
    <s v="LP002877"/>
    <x v="0"/>
    <x v="1"/>
    <x v="1"/>
    <x v="0"/>
    <x v="0"/>
    <x v="480"/>
    <n v="2232"/>
    <n v="107"/>
    <x v="0"/>
    <x v="0"/>
    <x v="1"/>
    <x v="0"/>
    <n v="4014"/>
    <x v="0"/>
    <n v="2.665670154459392E-2"/>
    <s v="Medium"/>
    <n v="1"/>
    <s v="2"/>
  </r>
  <r>
    <s v="LP002888"/>
    <x v="0"/>
    <x v="0"/>
    <x v="0"/>
    <x v="0"/>
    <x v="0"/>
    <x v="481"/>
    <n v="2917"/>
    <n v="161"/>
    <x v="0"/>
    <x v="0"/>
    <x v="0"/>
    <x v="0"/>
    <n v="6099"/>
    <x v="0"/>
    <n v="2.6397770126250206E-2"/>
    <s v="Medium"/>
    <n v="1"/>
    <s v="1"/>
  </r>
  <r>
    <s v="LP002892"/>
    <x v="0"/>
    <x v="1"/>
    <x v="2"/>
    <x v="0"/>
    <x v="0"/>
    <x v="482"/>
    <n v="0"/>
    <n v="205"/>
    <x v="0"/>
    <x v="0"/>
    <x v="2"/>
    <x v="0"/>
    <n v="6540"/>
    <x v="0"/>
    <n v="3.1345565749235471E-2"/>
    <s v="Large"/>
    <n v="1"/>
    <s v="3"/>
  </r>
  <r>
    <s v="LP002893"/>
    <x v="0"/>
    <x v="0"/>
    <x v="0"/>
    <x v="0"/>
    <x v="0"/>
    <x v="483"/>
    <n v="33837"/>
    <n v="90"/>
    <x v="0"/>
    <x v="0"/>
    <x v="0"/>
    <x v="1"/>
    <n v="35673"/>
    <x v="2"/>
    <n v="2.5229164914641325E-3"/>
    <s v="Small"/>
    <n v="0"/>
    <s v="1"/>
  </r>
  <r>
    <s v="LP002894"/>
    <x v="1"/>
    <x v="1"/>
    <x v="0"/>
    <x v="0"/>
    <x v="0"/>
    <x v="276"/>
    <n v="0"/>
    <n v="36"/>
    <x v="0"/>
    <x v="0"/>
    <x v="2"/>
    <x v="0"/>
    <n v="3166"/>
    <x v="1"/>
    <n v="1.1370814908401769E-2"/>
    <s v="Small"/>
    <n v="1"/>
    <s v="3"/>
  </r>
  <r>
    <s v="LP002898"/>
    <x v="0"/>
    <x v="1"/>
    <x v="1"/>
    <x v="0"/>
    <x v="0"/>
    <x v="484"/>
    <n v="0"/>
    <n v="61"/>
    <x v="0"/>
    <x v="0"/>
    <x v="1"/>
    <x v="1"/>
    <n v="1880"/>
    <x v="1"/>
    <n v="3.2446808510638296E-2"/>
    <s v="Small"/>
    <n v="0"/>
    <s v="2"/>
  </r>
  <r>
    <s v="LP002911"/>
    <x v="0"/>
    <x v="1"/>
    <x v="1"/>
    <x v="0"/>
    <x v="0"/>
    <x v="485"/>
    <n v="1917"/>
    <n v="146"/>
    <x v="0"/>
    <x v="1"/>
    <x v="1"/>
    <x v="1"/>
    <n v="4704"/>
    <x v="0"/>
    <n v="3.1037414965986394E-2"/>
    <s v="Medium"/>
    <n v="0"/>
    <s v="2"/>
  </r>
  <r>
    <s v="LP002912"/>
    <x v="0"/>
    <x v="1"/>
    <x v="1"/>
    <x v="0"/>
    <x v="0"/>
    <x v="193"/>
    <n v="3000"/>
    <n v="172"/>
    <x v="8"/>
    <x v="0"/>
    <x v="1"/>
    <x v="1"/>
    <n v="7283"/>
    <x v="0"/>
    <n v="2.3616641493889881E-2"/>
    <s v="Medium"/>
    <n v="0"/>
    <s v="2"/>
  </r>
  <r>
    <s v="LP002916"/>
    <x v="0"/>
    <x v="1"/>
    <x v="0"/>
    <x v="0"/>
    <x v="0"/>
    <x v="486"/>
    <n v="1522"/>
    <n v="104"/>
    <x v="0"/>
    <x v="0"/>
    <x v="0"/>
    <x v="0"/>
    <n v="3819"/>
    <x v="1"/>
    <n v="2.7232259753862266E-2"/>
    <s v="Medium"/>
    <n v="1"/>
    <s v="1"/>
  </r>
  <r>
    <s v="LP002917"/>
    <x v="1"/>
    <x v="0"/>
    <x v="0"/>
    <x v="1"/>
    <x v="0"/>
    <x v="487"/>
    <n v="0"/>
    <n v="70"/>
    <x v="0"/>
    <x v="0"/>
    <x v="2"/>
    <x v="0"/>
    <n v="2165"/>
    <x v="1"/>
    <n v="3.2332563510392612E-2"/>
    <s v="Small"/>
    <n v="1"/>
    <s v="3"/>
  </r>
  <r>
    <s v="LP002925"/>
    <x v="1"/>
    <x v="0"/>
    <x v="0"/>
    <x v="0"/>
    <x v="0"/>
    <x v="303"/>
    <n v="0"/>
    <n v="94"/>
    <x v="0"/>
    <x v="0"/>
    <x v="2"/>
    <x v="0"/>
    <n v="4750"/>
    <x v="0"/>
    <n v="1.9789473684210527E-2"/>
    <s v="Small"/>
    <n v="1"/>
    <s v="3"/>
  </r>
  <r>
    <s v="LP002926"/>
    <x v="0"/>
    <x v="1"/>
    <x v="2"/>
    <x v="0"/>
    <x v="1"/>
    <x v="488"/>
    <n v="0"/>
    <n v="106"/>
    <x v="0"/>
    <x v="1"/>
    <x v="2"/>
    <x v="1"/>
    <n v="2726"/>
    <x v="1"/>
    <n v="3.8884812912692593E-2"/>
    <s v="Medium"/>
    <n v="0"/>
    <s v="3"/>
  </r>
  <r>
    <s v="LP002928"/>
    <x v="0"/>
    <x v="1"/>
    <x v="0"/>
    <x v="0"/>
    <x v="0"/>
    <x v="2"/>
    <n v="3416"/>
    <n v="56"/>
    <x v="3"/>
    <x v="0"/>
    <x v="2"/>
    <x v="0"/>
    <n v="6416"/>
    <x v="0"/>
    <n v="8.7281795511221939E-3"/>
    <s v="Small"/>
    <n v="1"/>
    <s v="3"/>
  </r>
  <r>
    <s v="LP002931"/>
    <x v="0"/>
    <x v="1"/>
    <x v="2"/>
    <x v="0"/>
    <x v="1"/>
    <x v="4"/>
    <n v="0"/>
    <n v="205"/>
    <x v="2"/>
    <x v="0"/>
    <x v="2"/>
    <x v="1"/>
    <n v="6000"/>
    <x v="0"/>
    <n v="3.4166666666666665E-2"/>
    <s v="Large"/>
    <n v="0"/>
    <s v="3"/>
  </r>
  <r>
    <s v="LP002933"/>
    <x v="1"/>
    <x v="0"/>
    <x v="3"/>
    <x v="0"/>
    <x v="1"/>
    <x v="489"/>
    <n v="0"/>
    <n v="292"/>
    <x v="0"/>
    <x v="0"/>
    <x v="2"/>
    <x v="0"/>
    <n v="9357"/>
    <x v="2"/>
    <n v="3.1206583306615368E-2"/>
    <s v="Large"/>
    <n v="1"/>
    <s v="3"/>
  </r>
  <r>
    <s v="LP002936"/>
    <x v="0"/>
    <x v="1"/>
    <x v="0"/>
    <x v="0"/>
    <x v="0"/>
    <x v="380"/>
    <n v="3300"/>
    <n v="142"/>
    <x v="3"/>
    <x v="0"/>
    <x v="1"/>
    <x v="0"/>
    <n v="7159"/>
    <x v="0"/>
    <n v="1.9835172510127112E-2"/>
    <s v="Medium"/>
    <n v="1"/>
    <s v="2"/>
  </r>
  <r>
    <s v="LP002938"/>
    <x v="0"/>
    <x v="1"/>
    <x v="0"/>
    <x v="0"/>
    <x v="1"/>
    <x v="490"/>
    <n v="0"/>
    <n v="260"/>
    <x v="0"/>
    <x v="0"/>
    <x v="0"/>
    <x v="0"/>
    <n v="16120"/>
    <x v="2"/>
    <n v="1.6129032258064516E-2"/>
    <s v="Large"/>
    <n v="1"/>
    <s v="1"/>
  </r>
  <r>
    <s v="LP002940"/>
    <x v="0"/>
    <x v="0"/>
    <x v="0"/>
    <x v="1"/>
    <x v="0"/>
    <x v="491"/>
    <n v="0"/>
    <n v="110"/>
    <x v="0"/>
    <x v="0"/>
    <x v="1"/>
    <x v="0"/>
    <n v="3833"/>
    <x v="1"/>
    <n v="2.8698147665014349E-2"/>
    <s v="Medium"/>
    <n v="1"/>
    <s v="2"/>
  </r>
  <r>
    <s v="LP002941"/>
    <x v="0"/>
    <x v="1"/>
    <x v="2"/>
    <x v="1"/>
    <x v="1"/>
    <x v="492"/>
    <n v="1000"/>
    <n v="187"/>
    <x v="0"/>
    <x v="0"/>
    <x v="1"/>
    <x v="1"/>
    <n v="7383"/>
    <x v="0"/>
    <n v="2.5328457266693756E-2"/>
    <s v="Medium"/>
    <n v="0"/>
    <s v="2"/>
  </r>
  <r>
    <s v="LP002943"/>
    <x v="0"/>
    <x v="0"/>
    <x v="0"/>
    <x v="0"/>
    <x v="0"/>
    <x v="493"/>
    <n v="0"/>
    <n v="88"/>
    <x v="0"/>
    <x v="1"/>
    <x v="2"/>
    <x v="1"/>
    <n v="2987"/>
    <x v="1"/>
    <n v="2.9460997656511549E-2"/>
    <s v="Small"/>
    <n v="0"/>
    <s v="3"/>
  </r>
  <r>
    <s v="LP002945"/>
    <x v="0"/>
    <x v="1"/>
    <x v="0"/>
    <x v="0"/>
    <x v="1"/>
    <x v="494"/>
    <n v="0"/>
    <n v="180"/>
    <x v="0"/>
    <x v="0"/>
    <x v="1"/>
    <x v="0"/>
    <n v="9963"/>
    <x v="2"/>
    <n v="1.8066847335140017E-2"/>
    <s v="Medium"/>
    <n v="1"/>
    <s v="2"/>
  </r>
  <r>
    <s v="LP002948"/>
    <x v="0"/>
    <x v="1"/>
    <x v="2"/>
    <x v="0"/>
    <x v="0"/>
    <x v="495"/>
    <n v="0"/>
    <n v="192"/>
    <x v="0"/>
    <x v="0"/>
    <x v="0"/>
    <x v="0"/>
    <n v="5780"/>
    <x v="0"/>
    <n v="3.3217993079584777E-2"/>
    <s v="Medium"/>
    <n v="1"/>
    <s v="1"/>
  </r>
  <r>
    <s v="LP002949"/>
    <x v="1"/>
    <x v="0"/>
    <x v="3"/>
    <x v="0"/>
    <x v="0"/>
    <x v="496"/>
    <n v="41667"/>
    <n v="350"/>
    <x v="3"/>
    <x v="1"/>
    <x v="0"/>
    <x v="1"/>
    <n v="42083"/>
    <x v="2"/>
    <n v="8.3168975595846305E-3"/>
    <s v="Large"/>
    <n v="0"/>
    <s v="1"/>
  </r>
  <r>
    <s v="LP002950"/>
    <x v="0"/>
    <x v="1"/>
    <x v="0"/>
    <x v="1"/>
    <x v="0"/>
    <x v="497"/>
    <n v="2792"/>
    <n v="155"/>
    <x v="0"/>
    <x v="0"/>
    <x v="1"/>
    <x v="0"/>
    <n v="5686"/>
    <x v="0"/>
    <n v="2.7259936686598662E-2"/>
    <s v="Medium"/>
    <n v="1"/>
    <s v="2"/>
  </r>
  <r>
    <s v="LP002953"/>
    <x v="0"/>
    <x v="1"/>
    <x v="3"/>
    <x v="0"/>
    <x v="0"/>
    <x v="187"/>
    <n v="0"/>
    <n v="128"/>
    <x v="0"/>
    <x v="0"/>
    <x v="0"/>
    <x v="0"/>
    <n v="5703"/>
    <x v="0"/>
    <n v="2.2444327546905139E-2"/>
    <s v="Medium"/>
    <n v="1"/>
    <s v="1"/>
  </r>
  <r>
    <s v="LP002958"/>
    <x v="0"/>
    <x v="0"/>
    <x v="0"/>
    <x v="0"/>
    <x v="0"/>
    <x v="498"/>
    <n v="4301"/>
    <n v="172"/>
    <x v="0"/>
    <x v="0"/>
    <x v="1"/>
    <x v="0"/>
    <n v="7977"/>
    <x v="0"/>
    <n v="2.1561990723329573E-2"/>
    <s v="Medium"/>
    <n v="1"/>
    <s v="2"/>
  </r>
  <r>
    <s v="LP002959"/>
    <x v="1"/>
    <x v="1"/>
    <x v="1"/>
    <x v="0"/>
    <x v="0"/>
    <x v="168"/>
    <n v="0"/>
    <n v="496"/>
    <x v="0"/>
    <x v="0"/>
    <x v="2"/>
    <x v="0"/>
    <n v="12000"/>
    <x v="2"/>
    <n v="4.1333333333333333E-2"/>
    <s v="Large"/>
    <n v="1"/>
    <s v="3"/>
  </r>
  <r>
    <s v="LP002960"/>
    <x v="0"/>
    <x v="1"/>
    <x v="0"/>
    <x v="1"/>
    <x v="0"/>
    <x v="40"/>
    <n v="3800"/>
    <n v="0"/>
    <x v="3"/>
    <x v="0"/>
    <x v="0"/>
    <x v="1"/>
    <n v="6200"/>
    <x v="0"/>
    <n v="0"/>
    <s v="Small"/>
    <n v="0"/>
    <s v="1"/>
  </r>
  <r>
    <s v="LP002961"/>
    <x v="0"/>
    <x v="1"/>
    <x v="1"/>
    <x v="0"/>
    <x v="0"/>
    <x v="431"/>
    <n v="2500"/>
    <n v="173"/>
    <x v="0"/>
    <x v="0"/>
    <x v="2"/>
    <x v="0"/>
    <n v="5900"/>
    <x v="0"/>
    <n v="2.9322033898305084E-2"/>
    <s v="Medium"/>
    <n v="1"/>
    <s v="3"/>
  </r>
  <r>
    <s v="LP002964"/>
    <x v="0"/>
    <x v="1"/>
    <x v="2"/>
    <x v="1"/>
    <x v="0"/>
    <x v="499"/>
    <n v="1411"/>
    <n v="157"/>
    <x v="0"/>
    <x v="0"/>
    <x v="1"/>
    <x v="0"/>
    <n v="5398"/>
    <x v="0"/>
    <n v="2.9084846239347907E-2"/>
    <s v="Medium"/>
    <n v="1"/>
    <s v="2"/>
  </r>
  <r>
    <s v="LP002974"/>
    <x v="0"/>
    <x v="1"/>
    <x v="0"/>
    <x v="0"/>
    <x v="0"/>
    <x v="500"/>
    <n v="1950"/>
    <n v="108"/>
    <x v="0"/>
    <x v="0"/>
    <x v="1"/>
    <x v="0"/>
    <n v="5182"/>
    <x v="0"/>
    <n v="2.0841373986877652E-2"/>
    <s v="Medium"/>
    <n v="1"/>
    <s v="2"/>
  </r>
  <r>
    <s v="LP002978"/>
    <x v="1"/>
    <x v="0"/>
    <x v="0"/>
    <x v="0"/>
    <x v="0"/>
    <x v="501"/>
    <n v="0"/>
    <n v="71"/>
    <x v="0"/>
    <x v="0"/>
    <x v="1"/>
    <x v="0"/>
    <n v="2900"/>
    <x v="1"/>
    <n v="2.4482758620689656E-2"/>
    <s v="Small"/>
    <n v="1"/>
    <s v="2"/>
  </r>
  <r>
    <s v="LP002979"/>
    <x v="0"/>
    <x v="1"/>
    <x v="3"/>
    <x v="0"/>
    <x v="0"/>
    <x v="502"/>
    <n v="0"/>
    <n v="40"/>
    <x v="3"/>
    <x v="0"/>
    <x v="1"/>
    <x v="0"/>
    <n v="4106"/>
    <x v="0"/>
    <n v="9.74184120798831E-3"/>
    <s v="Small"/>
    <n v="1"/>
    <s v="2"/>
  </r>
  <r>
    <s v="LP002983"/>
    <x v="0"/>
    <x v="1"/>
    <x v="1"/>
    <x v="0"/>
    <x v="0"/>
    <x v="503"/>
    <n v="240"/>
    <n v="253"/>
    <x v="0"/>
    <x v="0"/>
    <x v="0"/>
    <x v="0"/>
    <n v="8312"/>
    <x v="2"/>
    <n v="3.0437921077959576E-2"/>
    <s v="Large"/>
    <n v="1"/>
    <s v="1"/>
  </r>
  <r>
    <s v="LP002984"/>
    <x v="0"/>
    <x v="1"/>
    <x v="2"/>
    <x v="0"/>
    <x v="0"/>
    <x v="504"/>
    <n v="0"/>
    <n v="187"/>
    <x v="0"/>
    <x v="0"/>
    <x v="0"/>
    <x v="0"/>
    <n v="7583"/>
    <x v="0"/>
    <n v="2.4660424634049848E-2"/>
    <s v="Medium"/>
    <n v="1"/>
    <s v="1"/>
  </r>
  <r>
    <s v="LP002990"/>
    <x v="1"/>
    <x v="0"/>
    <x v="0"/>
    <x v="0"/>
    <x v="1"/>
    <x v="1"/>
    <n v="0"/>
    <n v="133"/>
    <x v="0"/>
    <x v="1"/>
    <x v="2"/>
    <x v="1"/>
    <n v="4583"/>
    <x v="0"/>
    <n v="2.9020292384900719E-2"/>
    <s v="Medium"/>
    <n v="0"/>
    <s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x v="0"/>
    <n v="105.27500000000001"/>
    <n v="0.625"/>
  </r>
  <r>
    <x v="1"/>
    <n v="110.19587628865979"/>
    <n v="0.70790378006872856"/>
  </r>
  <r>
    <x v="2"/>
    <n v="139.39285714285714"/>
    <n v="0.68571428571428572"/>
  </r>
  <r>
    <x v="3"/>
    <n v="169.25423728813558"/>
    <n v="0.6271186440677966"/>
  </r>
  <r>
    <x v="4"/>
    <n v="212.44827586206895"/>
    <n v="0.7931034482758621"/>
  </r>
  <r>
    <x v="5"/>
    <n v="194.9375"/>
    <n v="0.5"/>
  </r>
  <r>
    <x v="6"/>
    <n v="253.42857142857142"/>
    <n v="0.5714285714285714"/>
  </r>
  <r>
    <x v="7"/>
    <n v="211"/>
    <n v="0.75"/>
  </r>
  <r>
    <x v="8"/>
    <n v="212.25"/>
    <n v="0.875"/>
  </r>
  <r>
    <x v="9"/>
    <n v="448.75"/>
    <n v="0.5"/>
  </r>
  <r>
    <x v="10"/>
    <n v="402.5"/>
    <n v="0.5"/>
  </r>
  <r>
    <x v="11"/>
    <n v="370"/>
    <n v="1"/>
  </r>
  <r>
    <x v="12"/>
    <n v="260"/>
    <n v="0"/>
  </r>
  <r>
    <x v="13"/>
    <n v="152"/>
    <n v="1"/>
  </r>
  <r>
    <x v="14"/>
    <n v="360"/>
    <n v="1"/>
  </r>
  <r>
    <x v="15"/>
    <n v="700"/>
    <n v="1"/>
  </r>
  <r>
    <x v="16"/>
    <n v="490"/>
    <n v="1"/>
  </r>
  <r>
    <x v="17"/>
    <n v="36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95442C-6EFF-409D-B8CB-C713F3F54E4F}"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35:H52" firstHeaderRow="1" firstDataRow="1" firstDataCol="0"/>
  <pivotFields count="3">
    <pivotField showAll="0">
      <items count="19">
        <item x="0"/>
        <item x="5"/>
        <item x="6"/>
        <item x="7"/>
        <item x="8"/>
        <item x="9"/>
        <item x="10"/>
        <item x="1"/>
        <item x="11"/>
        <item x="12"/>
        <item x="13"/>
        <item x="14"/>
        <item x="2"/>
        <item x="15"/>
        <item x="3"/>
        <item x="16"/>
        <item x="17"/>
        <item x="4"/>
        <item t="default"/>
      </items>
    </pivotField>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3CB79F-9958-46F4-8D59-C12328B5C30F}" name="PivotTable5"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G12:I31" firstHeaderRow="0" firstDataRow="1" firstDataCol="1"/>
  <pivotFields count="22">
    <pivotField dataField="1" showAll="0"/>
    <pivotField showAll="0"/>
    <pivotField showAll="0">
      <items count="3">
        <item x="0"/>
        <item x="1"/>
        <item t="default"/>
      </items>
    </pivotField>
    <pivotField showAll="0"/>
    <pivotField showAll="0">
      <items count="3">
        <item x="0"/>
        <item x="1"/>
        <item t="default"/>
      </items>
    </pivotField>
    <pivotField showAll="0">
      <items count="3">
        <item x="0"/>
        <item x="1"/>
        <item t="default"/>
      </items>
    </pivotField>
    <pivotField axis="axisRow" numFmtId="164"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umFmtId="164" showAll="0"/>
    <pivotField numFmtId="164" showAll="0"/>
    <pivotField showAll="0">
      <items count="6">
        <item x="0"/>
        <item x="1"/>
        <item x="2"/>
        <item x="3"/>
        <item x="4"/>
        <item t="default"/>
      </items>
    </pivotField>
    <pivotField showAll="0">
      <items count="3">
        <item x="1"/>
        <item x="0"/>
        <item t="default"/>
      </items>
    </pivotField>
    <pivotField showAll="0">
      <items count="4">
        <item x="1"/>
        <item x="2"/>
        <item x="0"/>
        <item t="default"/>
      </items>
    </pivotField>
    <pivotField showAll="0"/>
    <pivotField showAll="0"/>
    <pivotField showAll="0"/>
    <pivotField numFmtId="2" showAll="0"/>
    <pivotField showAll="0"/>
    <pivotField dataField="1" showAll="0"/>
    <pivotField showAll="0"/>
    <pivotField dragToRow="0" dragToCol="0" dragToPage="0" showAll="0" defaultSubtotal="0"/>
    <pivotField dragToRow="0" dragToCol="0" dragToPage="0" showAll="0" defaultSubtotal="0"/>
    <pivotField dragToRow="0" dragToCol="0" dragToPage="0" showAll="0" defaultSubtotal="0"/>
  </pivotFields>
  <rowFields count="1">
    <field x="6"/>
  </rowFields>
  <rowItems count="19">
    <i>
      <x v="1"/>
    </i>
    <i>
      <x v="2"/>
    </i>
    <i>
      <x v="3"/>
    </i>
    <i>
      <x v="4"/>
    </i>
    <i>
      <x v="5"/>
    </i>
    <i>
      <x v="6"/>
    </i>
    <i>
      <x v="7"/>
    </i>
    <i>
      <x v="8"/>
    </i>
    <i>
      <x v="9"/>
    </i>
    <i>
      <x v="10"/>
    </i>
    <i>
      <x v="11"/>
    </i>
    <i>
      <x v="12"/>
    </i>
    <i>
      <x v="17"/>
    </i>
    <i>
      <x v="19"/>
    </i>
    <i>
      <x v="20"/>
    </i>
    <i>
      <x v="26"/>
    </i>
    <i>
      <x v="32"/>
    </i>
    <i>
      <x v="41"/>
    </i>
    <i t="grand">
      <x/>
    </i>
  </rowItems>
  <colFields count="1">
    <field x="-2"/>
  </colFields>
  <colItems count="2">
    <i>
      <x/>
    </i>
    <i i="1">
      <x v="1"/>
    </i>
  </colItems>
  <dataFields count="2">
    <dataField name="Count of Loan_ID" fld="0" subtotal="count" baseField="0" baseItem="0"/>
    <dataField name="Sum of Approval Flag" fld="17" baseField="6" baseItem="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795208-8CEF-4DC9-AABE-4D895C690365}" name="Approval by employment"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5">
  <location ref="A21:B24" firstHeaderRow="1" firstDataRow="1" firstDataCol="1"/>
  <pivotFields count="22">
    <pivotField showAll="0"/>
    <pivotField showAll="0"/>
    <pivotField showAll="0">
      <items count="3">
        <item x="0"/>
        <item x="1"/>
        <item t="default"/>
      </items>
    </pivotField>
    <pivotField showAll="0"/>
    <pivotField showAll="0">
      <items count="3">
        <item x="0"/>
        <item x="1"/>
        <item t="default"/>
      </items>
    </pivotField>
    <pivotField axis="axisRow" showAll="0">
      <items count="3">
        <item x="0"/>
        <item x="1"/>
        <item t="default"/>
      </items>
    </pivotField>
    <pivotField numFmtId="164" showAll="0"/>
    <pivotField numFmtId="164" showAll="0"/>
    <pivotField numFmtId="164" showAll="0"/>
    <pivotField showAll="0">
      <items count="6">
        <item x="0"/>
        <item x="1"/>
        <item x="2"/>
        <item x="3"/>
        <item x="4"/>
        <item t="default"/>
      </items>
    </pivotField>
    <pivotField showAll="0">
      <items count="3">
        <item x="1"/>
        <item x="0"/>
        <item t="default"/>
      </items>
    </pivotField>
    <pivotField showAll="0">
      <items count="4">
        <item x="1"/>
        <item x="2"/>
        <item x="0"/>
        <item t="default"/>
      </items>
    </pivotField>
    <pivotField showAll="0"/>
    <pivotField showAll="0"/>
    <pivotField showAll="0"/>
    <pivotField numFmtId="2" showAll="0"/>
    <pivotField showAll="0"/>
    <pivotField dataField="1" showAll="0"/>
    <pivotField showAll="0"/>
    <pivotField dragToRow="0" dragToCol="0" dragToPage="0" showAll="0" defaultSubtotal="0"/>
    <pivotField dragToRow="0" dragToCol="0" dragToPage="0" showAll="0" defaultSubtotal="0"/>
    <pivotField dragToRow="0" dragToCol="0" dragToPage="0" showAll="0" defaultSubtotal="0"/>
  </pivotFields>
  <rowFields count="1">
    <field x="5"/>
  </rowFields>
  <rowItems count="3">
    <i>
      <x/>
    </i>
    <i>
      <x v="1"/>
    </i>
    <i t="grand">
      <x/>
    </i>
  </rowItems>
  <colItems count="1">
    <i/>
  </colItems>
  <dataFields count="1">
    <dataField name="Count of Approval Flag" fld="17" subtotal="count" showDataAs="percentOfTotal" baseField="5" baseItem="0" numFmtId="10"/>
  </dataFields>
  <formats count="3">
    <format dxfId="14">
      <pivotArea collapsedLevelsAreSubtotals="1" fieldPosition="0">
        <references count="1">
          <reference field="5" count="1">
            <x v="0"/>
          </reference>
        </references>
      </pivotArea>
    </format>
    <format dxfId="13">
      <pivotArea collapsedLevelsAreSubtotals="1" fieldPosition="0">
        <references count="1">
          <reference field="5" count="1">
            <x v="1"/>
          </reference>
        </references>
      </pivotArea>
    </format>
    <format dxfId="12">
      <pivotArea grandRow="1" outline="0" collapsedLevelsAreSubtotals="1"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Approval by gender"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6">
  <location ref="A3:B6" firstHeaderRow="1" firstDataRow="1" firstDataCol="1"/>
  <pivotFields count="22">
    <pivotField showAll="0"/>
    <pivotField axis="axisRow" showAll="0">
      <items count="3">
        <item x="1"/>
        <item x="0"/>
        <item t="default"/>
      </items>
    </pivotField>
    <pivotField showAll="0">
      <items count="3">
        <item x="0"/>
        <item x="1"/>
        <item t="default"/>
      </items>
    </pivotField>
    <pivotField showAll="0"/>
    <pivotField showAll="0">
      <items count="3">
        <item x="0"/>
        <item x="1"/>
        <item t="default"/>
      </items>
    </pivotField>
    <pivotField showAll="0">
      <items count="3">
        <item x="0"/>
        <item x="1"/>
        <item t="default"/>
      </items>
    </pivotField>
    <pivotField numFmtId="164" showAll="0"/>
    <pivotField numFmtId="164" showAll="0"/>
    <pivotField numFmtId="164" showAll="0"/>
    <pivotField showAll="0">
      <items count="6">
        <item x="0"/>
        <item x="1"/>
        <item x="2"/>
        <item x="3"/>
        <item x="4"/>
        <item t="default"/>
      </items>
    </pivotField>
    <pivotField showAll="0">
      <items count="3">
        <item x="1"/>
        <item x="0"/>
        <item t="default"/>
      </items>
    </pivotField>
    <pivotField showAll="0">
      <items count="4">
        <item x="1"/>
        <item x="2"/>
        <item x="0"/>
        <item t="default"/>
      </items>
    </pivotField>
    <pivotField showAll="0"/>
    <pivotField showAll="0"/>
    <pivotField showAll="0"/>
    <pivotField numFmtId="2" showAll="0"/>
    <pivotField showAll="0"/>
    <pivotField dataField="1" showAll="0"/>
    <pivotField showAll="0"/>
    <pivotField dragToRow="0" dragToCol="0" dragToPage="0" showAll="0" defaultSubtotal="0"/>
    <pivotField dragToRow="0" dragToCol="0" dragToPage="0" showAll="0" defaultSubtotal="0"/>
    <pivotField dragToRow="0" dragToCol="0" dragToPage="0" showAll="0" defaultSubtotal="0"/>
  </pivotFields>
  <rowFields count="1">
    <field x="1"/>
  </rowFields>
  <rowItems count="3">
    <i>
      <x/>
    </i>
    <i>
      <x v="1"/>
    </i>
    <i t="grand">
      <x/>
    </i>
  </rowItems>
  <colItems count="1">
    <i/>
  </colItems>
  <dataFields count="1">
    <dataField name="Count of Approval Flag" fld="17" subtotal="count" showDataAs="percentOfTotal" baseField="1" baseItem="0" numFmtId="9"/>
  </dataFields>
  <formats count="1">
    <format dxfId="15">
      <pivotArea outline="0" collapsedLevelsAreSubtotals="1" fieldPosition="0"/>
    </format>
  </formats>
  <chartFormats count="3">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E4129B-AC40-4ED3-B6F9-A8D232504A9F}" name="income vs loan amt"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rowHeaderCaption="ApplicantIncome">
  <location ref="D12:E31" firstHeaderRow="1" firstDataRow="1" firstDataCol="1" rowPageCount="1" colPageCount="1"/>
  <pivotFields count="22">
    <pivotField showAll="0"/>
    <pivotField showAll="0"/>
    <pivotField showAll="0">
      <items count="3">
        <item x="0"/>
        <item x="1"/>
        <item t="default"/>
      </items>
    </pivotField>
    <pivotField showAll="0"/>
    <pivotField showAll="0">
      <items count="3">
        <item x="0"/>
        <item x="1"/>
        <item t="default"/>
      </items>
    </pivotField>
    <pivotField showAll="0">
      <items count="3">
        <item x="0"/>
        <item x="1"/>
        <item t="default"/>
      </items>
    </pivotField>
    <pivotField axis="axisRow" numFmtId="164"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umFmtId="164" showAll="0"/>
    <pivotField dataField="1" numFmtId="164" showAll="0"/>
    <pivotField showAll="0">
      <items count="6">
        <item x="0"/>
        <item x="1"/>
        <item x="2"/>
        <item x="3"/>
        <item x="4"/>
        <item t="default"/>
      </items>
    </pivotField>
    <pivotField showAll="0">
      <items count="3">
        <item x="1"/>
        <item x="0"/>
        <item t="default"/>
      </items>
    </pivotField>
    <pivotField showAll="0">
      <items count="4">
        <item x="1"/>
        <item x="2"/>
        <item x="0"/>
        <item t="default"/>
      </items>
    </pivotField>
    <pivotField axis="axisPage" showAll="0">
      <items count="3">
        <item x="1"/>
        <item x="0"/>
        <item t="default"/>
      </items>
    </pivotField>
    <pivotField showAll="0"/>
    <pivotField showAll="0"/>
    <pivotField numFmtId="2"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6"/>
  </rowFields>
  <rowItems count="19">
    <i>
      <x v="1"/>
    </i>
    <i>
      <x v="2"/>
    </i>
    <i>
      <x v="3"/>
    </i>
    <i>
      <x v="4"/>
    </i>
    <i>
      <x v="5"/>
    </i>
    <i>
      <x v="6"/>
    </i>
    <i>
      <x v="7"/>
    </i>
    <i>
      <x v="8"/>
    </i>
    <i>
      <x v="9"/>
    </i>
    <i>
      <x v="10"/>
    </i>
    <i>
      <x v="11"/>
    </i>
    <i>
      <x v="12"/>
    </i>
    <i>
      <x v="17"/>
    </i>
    <i>
      <x v="19"/>
    </i>
    <i>
      <x v="20"/>
    </i>
    <i>
      <x v="26"/>
    </i>
    <i>
      <x v="32"/>
    </i>
    <i>
      <x v="41"/>
    </i>
    <i t="grand">
      <x/>
    </i>
  </rowItems>
  <colItems count="1">
    <i/>
  </colItems>
  <pageFields count="1">
    <pageField fld="12" hier="-1"/>
  </pageFields>
  <dataFields count="1">
    <dataField name="Average of Loan Amount" fld="8" subtotal="average"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0E79D5E-70E9-404E-8984-FB46017BBEAA}" name="Approval by education"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5">
  <location ref="A9:B12" firstHeaderRow="1" firstDataRow="1" firstDataCol="1"/>
  <pivotFields count="22">
    <pivotField showAll="0"/>
    <pivotField showAll="0"/>
    <pivotField showAll="0">
      <items count="3">
        <item x="0"/>
        <item x="1"/>
        <item t="default"/>
      </items>
    </pivotField>
    <pivotField showAll="0"/>
    <pivotField axis="axisRow" showAll="0">
      <items count="3">
        <item x="0"/>
        <item x="1"/>
        <item t="default"/>
      </items>
    </pivotField>
    <pivotField showAll="0">
      <items count="3">
        <item x="0"/>
        <item x="1"/>
        <item t="default"/>
      </items>
    </pivotField>
    <pivotField numFmtId="164" showAll="0"/>
    <pivotField numFmtId="164" showAll="0"/>
    <pivotField numFmtId="164" showAll="0"/>
    <pivotField showAll="0">
      <items count="6">
        <item x="0"/>
        <item x="1"/>
        <item x="2"/>
        <item x="3"/>
        <item x="4"/>
        <item t="default"/>
      </items>
    </pivotField>
    <pivotField showAll="0">
      <items count="3">
        <item x="1"/>
        <item x="0"/>
        <item t="default"/>
      </items>
    </pivotField>
    <pivotField showAll="0">
      <items count="4">
        <item x="1"/>
        <item x="2"/>
        <item x="0"/>
        <item t="default"/>
      </items>
    </pivotField>
    <pivotField showAll="0"/>
    <pivotField showAll="0"/>
    <pivotField showAll="0"/>
    <pivotField numFmtId="2" showAll="0"/>
    <pivotField showAll="0"/>
    <pivotField dataField="1" showAll="0"/>
    <pivotField showAll="0"/>
    <pivotField dragToRow="0" dragToCol="0" dragToPage="0" showAll="0" defaultSubtotal="0"/>
    <pivotField dragToRow="0" dragToCol="0" dragToPage="0" showAll="0" defaultSubtotal="0"/>
    <pivotField dragToRow="0" dragToCol="0" dragToPage="0" showAll="0" defaultSubtotal="0"/>
  </pivotFields>
  <rowFields count="1">
    <field x="4"/>
  </rowFields>
  <rowItems count="3">
    <i>
      <x/>
    </i>
    <i>
      <x v="1"/>
    </i>
    <i t="grand">
      <x/>
    </i>
  </rowItems>
  <colItems count="1">
    <i/>
  </colItems>
  <dataFields count="1">
    <dataField name="Count of Approval Flag" fld="17" subtotal="count" showDataAs="percentOfTotal" baseField="4" baseItem="0" numFmtId="9"/>
  </dataFields>
  <formats count="1">
    <format dxfId="16">
      <pivotArea outline="0" collapsedLevelsAreSubtotals="1" fieldPosition="0"/>
    </format>
  </formats>
  <chartFormats count="3">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1" format="3">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D9A0D93-44D6-4BA8-8AFE-2CC988896195}" name="Approval by property area"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5">
  <location ref="A27:B31" firstHeaderRow="1" firstDataRow="1" firstDataCol="1"/>
  <pivotFields count="22">
    <pivotField showAll="0"/>
    <pivotField showAll="0"/>
    <pivotField showAll="0">
      <items count="3">
        <item x="0"/>
        <item x="1"/>
        <item t="default"/>
      </items>
    </pivotField>
    <pivotField showAll="0"/>
    <pivotField showAll="0">
      <items count="3">
        <item x="0"/>
        <item x="1"/>
        <item t="default"/>
      </items>
    </pivotField>
    <pivotField showAll="0">
      <items count="3">
        <item x="0"/>
        <item x="1"/>
        <item t="default"/>
      </items>
    </pivotField>
    <pivotField numFmtId="164" showAll="0"/>
    <pivotField numFmtId="164" showAll="0"/>
    <pivotField numFmtId="164" showAll="0"/>
    <pivotField showAll="0">
      <items count="6">
        <item x="0"/>
        <item x="1"/>
        <item x="2"/>
        <item x="3"/>
        <item x="4"/>
        <item t="default"/>
      </items>
    </pivotField>
    <pivotField showAll="0">
      <items count="3">
        <item x="1"/>
        <item x="0"/>
        <item t="default"/>
      </items>
    </pivotField>
    <pivotField axis="axisRow" showAll="0">
      <items count="4">
        <item x="1"/>
        <item x="2"/>
        <item x="0"/>
        <item t="default"/>
      </items>
    </pivotField>
    <pivotField showAll="0"/>
    <pivotField showAll="0"/>
    <pivotField showAll="0"/>
    <pivotField numFmtId="2" showAll="0"/>
    <pivotField showAll="0"/>
    <pivotField dataField="1" showAll="0"/>
    <pivotField showAll="0"/>
    <pivotField dragToRow="0" dragToCol="0" dragToPage="0" showAll="0" defaultSubtotal="0"/>
    <pivotField dragToRow="0" dragToCol="0" dragToPage="0" showAll="0" defaultSubtotal="0"/>
    <pivotField dragToRow="0" dragToCol="0" dragToPage="0" showAll="0" defaultSubtotal="0"/>
  </pivotFields>
  <rowFields count="1">
    <field x="11"/>
  </rowFields>
  <rowItems count="4">
    <i>
      <x/>
    </i>
    <i>
      <x v="1"/>
    </i>
    <i>
      <x v="2"/>
    </i>
    <i t="grand">
      <x/>
    </i>
  </rowItems>
  <colItems count="1">
    <i/>
  </colItems>
  <dataFields count="1">
    <dataField name="Count of Approval Flag" fld="17" subtotal="count" showDataAs="percentOfTotal" baseField="11" baseItem="1" numFmtId="9"/>
  </dataFields>
  <formats count="1">
    <format dxfId="17">
      <pivotArea outline="0" collapsedLevelsAreSubtotals="1"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3C34789-BCC9-4205-B474-463D1492E6A4}" name="Approval by marital status"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5">
  <location ref="A15:B18" firstHeaderRow="1" firstDataRow="1" firstDataCol="1"/>
  <pivotFields count="22">
    <pivotField showAll="0"/>
    <pivotField showAll="0"/>
    <pivotField axis="axisRow" showAll="0">
      <items count="3">
        <item x="0"/>
        <item x="1"/>
        <item t="default"/>
      </items>
    </pivotField>
    <pivotField showAll="0"/>
    <pivotField showAll="0">
      <items count="3">
        <item x="0"/>
        <item x="1"/>
        <item t="default"/>
      </items>
    </pivotField>
    <pivotField showAll="0">
      <items count="3">
        <item x="0"/>
        <item x="1"/>
        <item t="default"/>
      </items>
    </pivotField>
    <pivotField numFmtId="164" showAll="0"/>
    <pivotField numFmtId="164" showAll="0"/>
    <pivotField numFmtId="164" showAll="0"/>
    <pivotField showAll="0">
      <items count="6">
        <item x="0"/>
        <item x="1"/>
        <item x="2"/>
        <item x="3"/>
        <item x="4"/>
        <item t="default"/>
      </items>
    </pivotField>
    <pivotField showAll="0">
      <items count="3">
        <item x="1"/>
        <item x="0"/>
        <item t="default"/>
      </items>
    </pivotField>
    <pivotField showAll="0">
      <items count="4">
        <item x="1"/>
        <item x="2"/>
        <item x="0"/>
        <item t="default"/>
      </items>
    </pivotField>
    <pivotField showAll="0"/>
    <pivotField showAll="0"/>
    <pivotField showAll="0"/>
    <pivotField numFmtId="2" showAll="0"/>
    <pivotField showAll="0"/>
    <pivotField dataField="1" showAll="0"/>
    <pivotField showAll="0"/>
    <pivotField dragToRow="0" dragToCol="0" dragToPage="0" showAll="0" defaultSubtotal="0"/>
    <pivotField dragToRow="0" dragToCol="0" dragToPage="0" showAll="0" defaultSubtotal="0"/>
    <pivotField dragToRow="0" dragToCol="0" dragToPage="0" showAll="0" defaultSubtotal="0"/>
  </pivotFields>
  <rowFields count="1">
    <field x="2"/>
  </rowFields>
  <rowItems count="3">
    <i>
      <x/>
    </i>
    <i>
      <x v="1"/>
    </i>
    <i t="grand">
      <x/>
    </i>
  </rowItems>
  <colItems count="1">
    <i/>
  </colItems>
  <dataFields count="1">
    <dataField name="Count of Approval Flag" fld="17" subtotal="count" showDataAs="percentOfTotal" baseField="2" baseItem="0" numFmtId="9"/>
  </dataFields>
  <formats count="1">
    <format dxfId="18">
      <pivotArea outline="0" collapsedLevelsAreSubtotals="1" fieldPosition="0"/>
    </format>
  </formats>
  <chartFormats count="3">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 chart="1" format="3">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228457C-9444-4BC9-85CC-BD4970EC6984}" name="Loan term vs app rate"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6">
  <location ref="E3:G7" firstHeaderRow="0" firstDataRow="1" firstDataCol="1"/>
  <pivotFields count="22">
    <pivotField showAll="0"/>
    <pivotField showAll="0"/>
    <pivotField showAll="0">
      <items count="3">
        <item x="0"/>
        <item x="1"/>
        <item t="default"/>
      </items>
    </pivotField>
    <pivotField showAll="0"/>
    <pivotField showAll="0">
      <items count="3">
        <item x="0"/>
        <item x="1"/>
        <item t="default"/>
      </items>
    </pivotField>
    <pivotField showAll="0">
      <items count="3">
        <item x="0"/>
        <item x="1"/>
        <item t="default"/>
      </items>
    </pivotField>
    <pivotField numFmtId="164" showAll="0"/>
    <pivotField numFmtId="164" showAll="0"/>
    <pivotField dataField="1" numFmtId="164" showAll="0"/>
    <pivotField axis="axisRow" showAll="0">
      <items count="6">
        <item x="0"/>
        <item n="Short Term" x="1"/>
        <item n="Medium Term" x="2"/>
        <item n="Long Term" x="3"/>
        <item x="4"/>
        <item t="default"/>
      </items>
    </pivotField>
    <pivotField showAll="0">
      <items count="3">
        <item x="1"/>
        <item x="0"/>
        <item t="default"/>
      </items>
    </pivotField>
    <pivotField showAll="0">
      <items count="4">
        <item x="1"/>
        <item x="2"/>
        <item x="0"/>
        <item t="default"/>
      </items>
    </pivotField>
    <pivotField showAll="0"/>
    <pivotField showAll="0"/>
    <pivotField showAll="0"/>
    <pivotField numFmtId="2" showAll="0"/>
    <pivotField showAll="0"/>
    <pivotField dataField="1" numFmtId="1" showAll="0"/>
    <pivotField showAll="0"/>
    <pivotField dragToRow="0" dragToCol="0" dragToPage="0" showAll="0" defaultSubtotal="0"/>
    <pivotField dragToRow="0" dragToCol="0" dragToPage="0" showAll="0" defaultSubtotal="0"/>
    <pivotField dragToRow="0" dragToCol="0" dragToPage="0" showAll="0" defaultSubtotal="0"/>
  </pivotFields>
  <rowFields count="1">
    <field x="9"/>
  </rowFields>
  <rowItems count="4">
    <i>
      <x v="1"/>
    </i>
    <i>
      <x v="2"/>
    </i>
    <i>
      <x v="3"/>
    </i>
    <i t="grand">
      <x/>
    </i>
  </rowItems>
  <colFields count="1">
    <field x="-2"/>
  </colFields>
  <colItems count="2">
    <i>
      <x/>
    </i>
    <i i="1">
      <x v="1"/>
    </i>
  </colItems>
  <dataFields count="2">
    <dataField name="Average of Approval Flag" fld="17" subtotal="average" baseField="0" baseItem="0" numFmtId="9"/>
    <dataField name="Average of Loan Amount" fld="8" subtotal="average" baseField="0" baseItem="0" numFmtId="166"/>
  </dataField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0714DD4-CF0F-4ED3-AC0D-4176DFF488C2}" name="Dependents vs loan amt"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5" rowHeaderCaption="Dependents">
  <location ref="A19:C24" firstHeaderRow="0" firstDataRow="1" firstDataCol="1"/>
  <pivotFields count="22">
    <pivotField showAll="0"/>
    <pivotField showAll="0">
      <items count="3">
        <item x="1"/>
        <item x="0"/>
        <item t="default"/>
      </items>
    </pivotField>
    <pivotField showAll="0">
      <items count="3">
        <item x="0"/>
        <item x="1"/>
        <item t="default"/>
      </items>
    </pivotField>
    <pivotField axis="axisRow" showAll="0">
      <items count="5">
        <item x="0"/>
        <item x="1"/>
        <item x="2"/>
        <item n="3+" x="3"/>
        <item t="default"/>
      </items>
    </pivotField>
    <pivotField showAll="0">
      <items count="3">
        <item x="0"/>
        <item x="1"/>
        <item t="default"/>
      </items>
    </pivotField>
    <pivotField showAll="0">
      <items count="3">
        <item x="0"/>
        <item x="1"/>
        <item t="default"/>
      </items>
    </pivotField>
    <pivotField numFmtId="164" showAll="0"/>
    <pivotField numFmtId="164" showAll="0"/>
    <pivotField dataField="1" numFmtId="164" showAll="0"/>
    <pivotField showAll="0">
      <items count="6">
        <item x="0"/>
        <item x="1"/>
        <item x="2"/>
        <item x="3"/>
        <item x="4"/>
        <item t="default"/>
      </items>
    </pivotField>
    <pivotField showAll="0">
      <items count="3">
        <item x="1"/>
        <item x="0"/>
        <item t="default"/>
      </items>
    </pivotField>
    <pivotField showAll="0">
      <items count="4">
        <item x="1"/>
        <item x="2"/>
        <item x="0"/>
        <item t="default"/>
      </items>
    </pivotField>
    <pivotField showAll="0"/>
    <pivotField showAll="0"/>
    <pivotField showAll="0"/>
    <pivotField numFmtId="2" showAll="0"/>
    <pivotField showAll="0"/>
    <pivotField dataField="1" numFmtId="1" showAll="0"/>
    <pivotField showAll="0"/>
    <pivotField dragToRow="0" dragToCol="0" dragToPage="0" showAll="0" defaultSubtotal="0"/>
    <pivotField dragToRow="0" dragToCol="0" dragToPage="0" showAll="0" defaultSubtotal="0"/>
    <pivotField dragToRow="0" dragToCol="0" dragToPage="0" showAll="0" defaultSubtotal="0"/>
  </pivotFields>
  <rowFields count="1">
    <field x="3"/>
  </rowFields>
  <rowItems count="5">
    <i>
      <x/>
    </i>
    <i>
      <x v="1"/>
    </i>
    <i>
      <x v="2"/>
    </i>
    <i>
      <x v="3"/>
    </i>
    <i t="grand">
      <x/>
    </i>
  </rowItems>
  <colFields count="1">
    <field x="-2"/>
  </colFields>
  <colItems count="2">
    <i>
      <x/>
    </i>
    <i i="1">
      <x v="1"/>
    </i>
  </colItems>
  <dataFields count="2">
    <dataField name="Average of Loan Amount" fld="8" subtotal="average" baseField="0" baseItem="0" numFmtId="166"/>
    <dataField name="% of Approval" fld="17" subtotal="average" baseField="0" baseItem="0" numFmtId="9"/>
  </dataFields>
  <formats count="4">
    <format dxfId="3">
      <pivotArea dataOnly="0" labelOnly="1" outline="0" axis="axisValues" fieldPosition="0"/>
    </format>
    <format dxfId="2">
      <pivotArea outline="0" collapsedLevelsAreSubtotals="1" fieldPosition="0"/>
    </format>
    <format dxfId="1">
      <pivotArea outline="0" collapsedLevelsAreSubtotals="1" fieldPosition="0">
        <references count="1">
          <reference field="4294967294" count="1" selected="0">
            <x v="1"/>
          </reference>
        </references>
      </pivotArea>
    </format>
    <format dxfId="0">
      <pivotArea dataOnly="0" labelOnly="1" outline="0" fieldPosition="0">
        <references count="1">
          <reference field="4294967294" count="1">
            <x v="1"/>
          </reference>
        </references>
      </pivotArea>
    </format>
  </formats>
  <chartFormats count="6">
    <chartFormat chart="1" format="6" series="1">
      <pivotArea type="data" outline="0" fieldPosition="0">
        <references count="1">
          <reference field="4294967294" count="1" selected="0">
            <x v="0"/>
          </reference>
        </references>
      </pivotArea>
    </chartFormat>
    <chartFormat chart="1" format="7" series="1">
      <pivotArea type="data" outline="0" fieldPosition="0">
        <references count="1">
          <reference field="4294967294" count="1" selected="0">
            <x v="1"/>
          </reference>
        </references>
      </pivotArea>
    </chartFormat>
    <chartFormat chart="1" format="8">
      <pivotArea type="data" outline="0" fieldPosition="0">
        <references count="2">
          <reference field="4294967294" count="1" selected="0">
            <x v="1"/>
          </reference>
          <reference field="3" count="1" selected="0">
            <x v="0"/>
          </reference>
        </references>
      </pivotArea>
    </chartFormat>
    <chartFormat chart="1" format="9">
      <pivotArea type="data" outline="0" fieldPosition="0">
        <references count="2">
          <reference field="4294967294" count="1" selected="0">
            <x v="1"/>
          </reference>
          <reference field="3" count="1" selected="0">
            <x v="1"/>
          </reference>
        </references>
      </pivotArea>
    </chartFormat>
    <chartFormat chart="1" format="10">
      <pivotArea type="data" outline="0" fieldPosition="0">
        <references count="2">
          <reference field="4294967294" count="1" selected="0">
            <x v="1"/>
          </reference>
          <reference field="3" count="1" selected="0">
            <x v="2"/>
          </reference>
        </references>
      </pivotArea>
    </chartFormat>
    <chartFormat chart="1" format="11">
      <pivotArea type="data" outline="0" fieldPosition="0">
        <references count="2">
          <reference field="4294967294" count="1" selected="0">
            <x v="1"/>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42B15A4-49BD-466F-B4A4-E2A0C763D929}" name="Credit history impact"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5">
  <location ref="A11:C14" firstHeaderRow="0" firstDataRow="1" firstDataCol="1"/>
  <pivotFields count="22">
    <pivotField showAll="0"/>
    <pivotField showAll="0"/>
    <pivotField showAll="0">
      <items count="3">
        <item x="0"/>
        <item x="1"/>
        <item t="default"/>
      </items>
    </pivotField>
    <pivotField showAll="0"/>
    <pivotField showAll="0">
      <items count="3">
        <item x="0"/>
        <item x="1"/>
        <item t="default"/>
      </items>
    </pivotField>
    <pivotField showAll="0">
      <items count="3">
        <item x="0"/>
        <item x="1"/>
        <item t="default"/>
      </items>
    </pivotField>
    <pivotField numFmtId="164" showAll="0"/>
    <pivotField numFmtId="164" showAll="0"/>
    <pivotField dataField="1" numFmtId="164" showAll="0"/>
    <pivotField showAll="0">
      <items count="6">
        <item x="0"/>
        <item x="1"/>
        <item x="2"/>
        <item x="3"/>
        <item x="4"/>
        <item t="default"/>
      </items>
    </pivotField>
    <pivotField axis="axisRow" showAll="0">
      <items count="3">
        <item n="No Credit History" x="1"/>
        <item n="Has Credit History" x="0"/>
        <item t="default"/>
      </items>
    </pivotField>
    <pivotField showAll="0">
      <items count="4">
        <item x="1"/>
        <item x="2"/>
        <item x="0"/>
        <item t="default"/>
      </items>
    </pivotField>
    <pivotField showAll="0"/>
    <pivotField showAll="0"/>
    <pivotField showAll="0"/>
    <pivotField numFmtId="2" showAll="0"/>
    <pivotField showAll="0"/>
    <pivotField dataField="1" numFmtId="1" showAll="0"/>
    <pivotField showAll="0"/>
    <pivotField dragToRow="0" dragToCol="0" dragToPage="0" showAll="0" defaultSubtotal="0"/>
    <pivotField dragToRow="0" dragToCol="0" dragToPage="0" showAll="0" defaultSubtotal="0"/>
    <pivotField dragToRow="0" dragToCol="0" dragToPage="0" showAll="0" defaultSubtotal="0"/>
  </pivotFields>
  <rowFields count="1">
    <field x="10"/>
  </rowFields>
  <rowItems count="3">
    <i>
      <x/>
    </i>
    <i>
      <x v="1"/>
    </i>
    <i t="grand">
      <x/>
    </i>
  </rowItems>
  <colFields count="1">
    <field x="-2"/>
  </colFields>
  <colItems count="2">
    <i>
      <x/>
    </i>
    <i i="1">
      <x v="1"/>
    </i>
  </colItems>
  <dataFields count="2">
    <dataField name="Avg. Loan Amount" fld="8" subtotal="average" baseField="0" baseItem="0" numFmtId="166"/>
    <dataField name="Approval-Rate" fld="17" subtotal="average" baseField="0" baseItem="0" numFmtId="9"/>
  </dataFields>
  <formats count="2">
    <format dxfId="5">
      <pivotArea outline="0" collapsedLevelsAreSubtotals="1" fieldPosition="0">
        <references count="1">
          <reference field="4294967294" count="1" selected="0">
            <x v="0"/>
          </reference>
        </references>
      </pivotArea>
    </format>
    <format dxfId="4">
      <pivotArea outline="0" collapsedLevelsAreSubtotals="1" fieldPosition="0">
        <references count="1">
          <reference field="4294967294" count="1" selected="0">
            <x v="1"/>
          </reference>
        </references>
      </pivotArea>
    </format>
  </format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CC1DF1A-2F5D-4734-A4E3-252EF4219FD1}" name="propertyAreaComparison"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7">
  <location ref="A3:C7" firstHeaderRow="0" firstDataRow="1" firstDataCol="1"/>
  <pivotFields count="22">
    <pivotField showAll="0"/>
    <pivotField showAll="0"/>
    <pivotField showAll="0">
      <items count="3">
        <item x="0"/>
        <item x="1"/>
        <item t="default"/>
      </items>
    </pivotField>
    <pivotField showAll="0"/>
    <pivotField showAll="0">
      <items count="3">
        <item x="0"/>
        <item x="1"/>
        <item t="default"/>
      </items>
    </pivotField>
    <pivotField showAll="0">
      <items count="3">
        <item x="0"/>
        <item x="1"/>
        <item t="default"/>
      </items>
    </pivotField>
    <pivotField numFmtId="164" showAll="0"/>
    <pivotField numFmtId="164" showAll="0"/>
    <pivotField dataField="1" numFmtId="164" showAll="0"/>
    <pivotField showAll="0">
      <items count="6">
        <item x="0"/>
        <item x="1"/>
        <item x="2"/>
        <item x="3"/>
        <item x="4"/>
        <item t="default"/>
      </items>
    </pivotField>
    <pivotField showAll="0">
      <items count="3">
        <item x="1"/>
        <item x="0"/>
        <item t="default"/>
      </items>
    </pivotField>
    <pivotField axis="axisRow" showAll="0">
      <items count="4">
        <item x="1"/>
        <item x="2"/>
        <item x="0"/>
        <item t="default"/>
      </items>
    </pivotField>
    <pivotField showAll="0"/>
    <pivotField showAll="0"/>
    <pivotField showAll="0"/>
    <pivotField numFmtId="2" showAll="0"/>
    <pivotField showAll="0"/>
    <pivotField dataField="1" numFmtId="1" showAll="0"/>
    <pivotField showAll="0"/>
    <pivotField dragToRow="0" dragToCol="0" dragToPage="0" showAll="0" defaultSubtotal="0"/>
    <pivotField dragToRow="0" dragToCol="0" dragToPage="0" showAll="0" defaultSubtotal="0"/>
    <pivotField dragToRow="0" dragToCol="0" dragToPage="0" showAll="0" defaultSubtotal="0"/>
  </pivotFields>
  <rowFields count="1">
    <field x="11"/>
  </rowFields>
  <rowItems count="4">
    <i>
      <x/>
    </i>
    <i>
      <x v="1"/>
    </i>
    <i>
      <x v="2"/>
    </i>
    <i t="grand">
      <x/>
    </i>
  </rowItems>
  <colFields count="1">
    <field x="-2"/>
  </colFields>
  <colItems count="2">
    <i>
      <x/>
    </i>
    <i i="1">
      <x v="1"/>
    </i>
  </colItems>
  <dataFields count="2">
    <dataField name="Average of Loan Amount" fld="8" subtotal="average" baseField="0" baseItem="0" numFmtId="166"/>
    <dataField name="Approval_Rate" fld="17" subtotal="average" baseField="0" baseItem="0" numFmtId="9"/>
  </dataFields>
  <formats count="3">
    <format dxfId="8">
      <pivotArea collapsedLevelsAreSubtotals="1" fieldPosition="0">
        <references count="2">
          <reference field="4294967294" count="1" selected="0">
            <x v="1"/>
          </reference>
          <reference field="11" count="1">
            <x v="0"/>
          </reference>
        </references>
      </pivotArea>
    </format>
    <format dxfId="7">
      <pivotArea outline="0" fieldPosition="0">
        <references count="1">
          <reference field="4294967294" count="1">
            <x v="1"/>
          </reference>
        </references>
      </pivotArea>
    </format>
    <format dxfId="6">
      <pivotArea outline="0" fieldPosition="0">
        <references count="1">
          <reference field="4294967294" count="1">
            <x v="0"/>
          </reference>
        </references>
      </pivotArea>
    </format>
  </formats>
  <chartFormats count="3">
    <chartFormat chart="3" format="7"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1"/>
          </reference>
        </references>
      </pivotArea>
    </chartFormat>
    <chartFormat chart="3" format="9">
      <pivotArea type="data" outline="0" fieldPosition="0">
        <references count="2">
          <reference field="4294967294" count="1" selected="0">
            <x v="1"/>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4B619B3-B1E2-4898-812F-27E243E47E20}" name="PivotTable12" cacheId="0" applyNumberFormats="0" applyBorderFormats="0" applyFontFormats="0" applyPatternFormats="0" applyAlignmentFormats="0" applyWidthHeightFormats="1" dataCaption="Values" updatedVersion="7" minRefreshableVersion="3" useAutoFormatting="1" rowGrandTotals="0" colGrandTotals="0" itemPrintTitles="1" createdVersion="6" indent="0" outline="1" outlineData="1" multipleFieldFilters="0" colHeaderCaption="Customer Persona Heatmap - Approval Rate by Education, Credit History &amp; Property Area">
  <location ref="E18:K22" firstHeaderRow="1" firstDataRow="3" firstDataCol="1"/>
  <pivotFields count="22">
    <pivotField showAll="0" defaultSubtotal="0"/>
    <pivotField showAll="0" defaultSubtotal="0"/>
    <pivotField showAll="0" defaultSubtotal="0">
      <items count="2">
        <item x="0"/>
        <item x="1"/>
      </items>
    </pivotField>
    <pivotField showAll="0" defaultSubtotal="0"/>
    <pivotField axis="axisRow" showAll="0" defaultSubtotal="0">
      <items count="2">
        <item x="0"/>
        <item x="1"/>
      </items>
    </pivotField>
    <pivotField showAll="0" defaultSubtotal="0">
      <items count="2">
        <item x="0"/>
        <item x="1"/>
      </items>
    </pivotField>
    <pivotField numFmtId="164" showAll="0" defaultSubtotal="0"/>
    <pivotField numFmtId="164" showAll="0" defaultSubtotal="0"/>
    <pivotField numFmtId="164" showAll="0" defaultSubtotal="0"/>
    <pivotField showAll="0" defaultSubtotal="0"/>
    <pivotField axis="axisCol" showAll="0" defaultSubtotal="0">
      <items count="2">
        <item n="No Credit History" x="1"/>
        <item n="Has Credit History" x="0"/>
      </items>
    </pivotField>
    <pivotField axis="axisCol" showAll="0" defaultSubtotal="0">
      <items count="3">
        <item x="1"/>
        <item x="2"/>
        <item x="0"/>
      </items>
    </pivotField>
    <pivotField showAll="0" defaultSubtotal="0"/>
    <pivotField showAll="0" defaultSubtotal="0"/>
    <pivotField showAll="0" defaultSubtotal="0"/>
    <pivotField numFmtId="2" showAll="0" defaultSubtotal="0"/>
    <pivotField showAll="0" defaultSubtotal="0"/>
    <pivotField dataField="1" numFmtId="1" showAll="0" defaultSubtotal="0"/>
    <pivotField showAll="0" defaultSubtotal="0"/>
    <pivotField dragToRow="0" dragToCol="0" dragToPage="0" showAll="0" defaultSubtotal="0"/>
    <pivotField dragToRow="0" dragToCol="0" dragToPage="0" showAll="0" defaultSubtotal="0"/>
    <pivotField dragToRow="0" dragToCol="0" dragToPage="0" showAll="0" defaultSubtotal="0"/>
  </pivotFields>
  <rowFields count="1">
    <field x="4"/>
  </rowFields>
  <rowItems count="2">
    <i>
      <x/>
    </i>
    <i>
      <x v="1"/>
    </i>
  </rowItems>
  <colFields count="2">
    <field x="11"/>
    <field x="10"/>
  </colFields>
  <colItems count="6">
    <i>
      <x/>
      <x/>
    </i>
    <i r="1">
      <x v="1"/>
    </i>
    <i>
      <x v="1"/>
      <x/>
    </i>
    <i r="1">
      <x v="1"/>
    </i>
    <i>
      <x v="2"/>
      <x/>
    </i>
    <i r="1">
      <x v="1"/>
    </i>
  </colItems>
  <dataFields count="1">
    <dataField name="Average of Approval Flag" fld="17" subtotal="average" baseField="0" baseItem="0" numFmtId="9"/>
  </dataFields>
  <conditionalFormats count="1">
    <conditionalFormat priority="1">
      <pivotAreas count="1">
        <pivotArea type="data" collapsedLevelsAreSubtotals="1" fieldPosition="0">
          <references count="2">
            <reference field="4294967294" count="1" selected="0">
              <x v="0"/>
            </reference>
            <reference field="4" count="2">
              <x v="0"/>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82E4F36-9998-4782-B819-C3EA843CA3A7}" name="app probability vs income band"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5">
  <location ref="E11:F15" firstHeaderRow="1" firstDataRow="1" firstDataCol="1"/>
  <pivotFields count="22">
    <pivotField showAll="0"/>
    <pivotField showAll="0"/>
    <pivotField showAll="0">
      <items count="3">
        <item x="0"/>
        <item x="1"/>
        <item t="default"/>
      </items>
    </pivotField>
    <pivotField showAll="0"/>
    <pivotField showAll="0">
      <items count="3">
        <item x="0"/>
        <item x="1"/>
        <item t="default"/>
      </items>
    </pivotField>
    <pivotField showAll="0">
      <items count="3">
        <item x="0"/>
        <item x="1"/>
        <item t="default"/>
      </items>
    </pivotField>
    <pivotField numFmtId="164" showAll="0"/>
    <pivotField numFmtId="164" showAll="0"/>
    <pivotField numFmtId="164" showAll="0"/>
    <pivotField showAll="0"/>
    <pivotField showAll="0">
      <items count="3">
        <item x="1"/>
        <item x="0"/>
        <item t="default"/>
      </items>
    </pivotField>
    <pivotField showAll="0">
      <items count="4">
        <item x="1"/>
        <item x="2"/>
        <item x="0"/>
        <item t="default"/>
      </items>
    </pivotField>
    <pivotField showAll="0"/>
    <pivotField showAll="0"/>
    <pivotField axis="axisRow" showAll="0">
      <items count="4">
        <item x="1"/>
        <item x="0"/>
        <item x="2"/>
        <item t="default"/>
      </items>
    </pivotField>
    <pivotField numFmtId="2" showAll="0"/>
    <pivotField showAll="0"/>
    <pivotField dataField="1" numFmtId="1" showAll="0"/>
    <pivotField showAll="0"/>
    <pivotField dragToRow="0" dragToCol="0" dragToPage="0" showAll="0" defaultSubtotal="0"/>
    <pivotField dragToRow="0" dragToCol="0" dragToPage="0" showAll="0" defaultSubtotal="0"/>
    <pivotField dragToRow="0" dragToCol="0" dragToPage="0" showAll="0" defaultSubtotal="0"/>
  </pivotFields>
  <rowFields count="1">
    <field x="14"/>
  </rowFields>
  <rowItems count="4">
    <i>
      <x/>
    </i>
    <i>
      <x v="1"/>
    </i>
    <i>
      <x v="2"/>
    </i>
    <i t="grand">
      <x/>
    </i>
  </rowItems>
  <colItems count="1">
    <i/>
  </colItems>
  <dataFields count="1">
    <dataField name="Average of Approval Flag" fld="17" subtotal="average" baseField="0" baseItem="0" numFmtId="9"/>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010F86C-C357-4C3F-B202-E3E8406FBFFF}" sourceName="Gender">
  <pivotTables>
    <pivotTable tabId="4" name="Approval by gender"/>
  </pivotTables>
  <data>
    <tabular pivotCacheId="145624878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 xr10:uid="{3D40C27B-F7DB-43FB-A0BC-2F5F3DB3CA05}" sourceName="Married">
  <pivotTables>
    <pivotTable tabId="4" name="Approval by gender"/>
    <pivotTable tabId="6" name="app probability vs income band"/>
    <pivotTable tabId="6" name="Credit history impact"/>
    <pivotTable tabId="6" name="Dependents vs loan amt"/>
    <pivotTable tabId="6" name="Loan term vs app rate"/>
    <pivotTable tabId="6" name="PivotTable12"/>
    <pivotTable tabId="6" name="propertyAreaComparison"/>
    <pivotTable tabId="4" name="Approval by education"/>
    <pivotTable tabId="4" name="Approval by employment"/>
    <pivotTable tabId="4" name="Approval by marital status"/>
    <pivotTable tabId="4" name="Approval by property area"/>
    <pivotTable tabId="4" name="income vs loan amt"/>
    <pivotTable tabId="4" name="PivotTable5"/>
  </pivotTables>
  <data>
    <tabular pivotCacheId="1456248788">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F23A6B1-F5E6-461F-8AEE-D3AE3AD0E72B}" sourceName="Education">
  <pivotTables>
    <pivotTable tabId="4" name="Approval by gender"/>
    <pivotTable tabId="6" name="app probability vs income band"/>
    <pivotTable tabId="6" name="Credit history impact"/>
    <pivotTable tabId="6" name="Dependents vs loan amt"/>
    <pivotTable tabId="6" name="Loan term vs app rate"/>
    <pivotTable tabId="6" name="PivotTable12"/>
    <pivotTable tabId="6" name="propertyAreaComparison"/>
    <pivotTable tabId="4" name="Approval by education"/>
    <pivotTable tabId="4" name="Approval by employment"/>
    <pivotTable tabId="4" name="Approval by marital status"/>
    <pivotTable tabId="4" name="Approval by property area"/>
    <pivotTable tabId="4" name="income vs loan amt"/>
    <pivotTable tabId="4" name="PivotTable5"/>
  </pivotTables>
  <data>
    <tabular pivotCacheId="1456248788">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_Employed" xr10:uid="{06E6883D-8CB6-491E-8755-F0443925F4F7}" sourceName="Self_Employed">
  <pivotTables>
    <pivotTable tabId="4" name="Approval by gender"/>
    <pivotTable tabId="6" name="app probability vs income band"/>
    <pivotTable tabId="6" name="Credit history impact"/>
    <pivotTable tabId="6" name="Dependents vs loan amt"/>
    <pivotTable tabId="6" name="Loan term vs app rate"/>
    <pivotTable tabId="6" name="PivotTable12"/>
    <pivotTable tabId="6" name="propertyAreaComparison"/>
    <pivotTable tabId="4" name="Approval by education"/>
    <pivotTable tabId="4" name="Approval by employment"/>
    <pivotTable tabId="4" name="Approval by marital status"/>
    <pivotTable tabId="4" name="Approval by property area"/>
    <pivotTable tabId="4" name="income vs loan amt"/>
    <pivotTable tabId="4" name="PivotTable5"/>
  </pivotTables>
  <data>
    <tabular pivotCacheId="1456248788">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edit_History" xr10:uid="{EFF54F3D-3A79-4AE2-B31F-ECBB581A59CA}" sourceName="Credit_History">
  <pivotTables>
    <pivotTable tabId="4" name="Approval by gender"/>
    <pivotTable tabId="6" name="app probability vs income band"/>
    <pivotTable tabId="6" name="Credit history impact"/>
    <pivotTable tabId="6" name="Dependents vs loan amt"/>
    <pivotTable tabId="6" name="Loan term vs app rate"/>
    <pivotTable tabId="6" name="PivotTable12"/>
    <pivotTable tabId="6" name="propertyAreaComparison"/>
    <pivotTable tabId="4" name="Approval by education"/>
    <pivotTable tabId="4" name="Approval by employment"/>
    <pivotTable tabId="4" name="Approval by marital status"/>
    <pivotTable tabId="4" name="Approval by property area"/>
    <pivotTable tabId="4" name="income vs loan amt"/>
    <pivotTable tabId="4" name="PivotTable5"/>
  </pivotTables>
  <data>
    <tabular pivotCacheId="1456248788">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Area" xr10:uid="{2AC6D6CD-C7ED-48B5-808C-0857E965CC6E}" sourceName="Property_Area">
  <pivotTables>
    <pivotTable tabId="4" name="Approval by education"/>
    <pivotTable tabId="4" name="Approval by marital status"/>
    <pivotTable tabId="4" name="Approval by employment"/>
    <pivotTable tabId="4" name="Approval by property area"/>
    <pivotTable tabId="4" name="income vs loan amt"/>
    <pivotTable tabId="6" name="Credit history impact"/>
    <pivotTable tabId="6" name="Dependents vs loan amt"/>
    <pivotTable tabId="6" name="propertyAreaComparison"/>
    <pivotTable tabId="6" name="app probability vs income band"/>
    <pivotTable tabId="6" name="Loan term vs app rate"/>
    <pivotTable tabId="6" name="PivotTable12"/>
    <pivotTable tabId="4" name="Approval by gender"/>
    <pivotTable tabId="4" name="PivotTable5"/>
  </pivotTables>
  <data>
    <tabular pivotCacheId="1456248788">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81E343A-8A5A-4EDC-90D4-1AF3FCF2CD32}" cache="Slicer_Gender" caption="Gender" rowHeight="234950"/>
  <slicer name="Gender 1" xr10:uid="{F5BC5C90-322F-4D39-977C-C53CFF5DDE22}" cache="Slicer_Gender" caption="Gender" rowHeight="234950"/>
  <slicer name="Gender 2" xr10:uid="{FCD8C58A-809B-4B01-B033-4276CC376BA2}" cache="Slicer_Gender" caption="Gender" rowHeight="234950"/>
  <slicer name="Gender 3" xr10:uid="{994BBE4D-6904-43B8-B71F-0D280CA13B17}" cache="Slicer_Gender" caption="Gender" rowHeight="234950"/>
  <slicer name="Gender 4" xr10:uid="{ACEB15AD-A938-4265-B4EE-18988A0A5EBB}" cache="Slicer_Gender" caption="Gender" rowHeight="234950"/>
  <slicer name="Married" xr10:uid="{80D4FD0A-1609-4D82-896C-2E4B48D9471A}" cache="Slicer_Married" caption="Married" style="SlicerStyleLight3" rowHeight="234950"/>
  <slicer name="Married 1" xr10:uid="{E873C81C-D0C4-4A4C-AFF7-277574F466A5}" cache="Slicer_Married" caption="Married" style="SlicerStyleLight3" rowHeight="234950"/>
  <slicer name="Married 2" xr10:uid="{AB691812-2016-4C64-AAE9-9265E6DCF49C}" cache="Slicer_Married" caption="Married" style="SlicerStyleLight3" rowHeight="234950"/>
  <slicer name="Married 3" xr10:uid="{B18CA03C-AA7B-4433-BAE3-72E6233D634D}" cache="Slicer_Married" caption="Married" style="SlicerStyleLight3" rowHeight="234950"/>
  <slicer name="Married 4" xr10:uid="{53EA4EFC-7BE6-4C6E-B2EC-CE7BACF6EEFA}" cache="Slicer_Married" caption="Married" style="SlicerStyleLight3" rowHeight="234950"/>
  <slicer name="Education" xr10:uid="{6A6104FF-5163-48AA-AD82-7F8E60BBD4D8}" cache="Slicer_Education" caption="Education" style="SlicerStyleLight3" rowHeight="234950"/>
  <slicer name="Education 1" xr10:uid="{4A7FFB55-81AD-4648-9ADB-7FEC0EDCE20B}" cache="Slicer_Education" caption="Education" style="SlicerStyleLight3" rowHeight="234950"/>
  <slicer name="Education 2" xr10:uid="{5D63C46E-3418-4E52-B565-7B40147DDA71}" cache="Slicer_Education" caption="Education" style="SlicerStyleLight3" rowHeight="234950"/>
  <slicer name="Education 3" xr10:uid="{AA7DF266-65F6-4E2F-ACE2-BE367C375A7A}" cache="Slicer_Education" caption="Education" style="SlicerStyleLight3" rowHeight="234950"/>
  <slicer name="Education 4" xr10:uid="{84702A83-38FC-4CA4-ABA9-6799E5D41371}" cache="Slicer_Education" caption="Education" style="SlicerStyleLight3" rowHeight="234950"/>
  <slicer name="Self_Employed" xr10:uid="{60A092AC-8976-4B05-BE38-F21C0644D63B}" cache="Slicer_Self_Employed" caption="Self_Employed" style="SlicerStyleLight3" rowHeight="234950"/>
  <slicer name="Self_Employed 1" xr10:uid="{D922CD41-8C8C-4E6C-9A9B-0054C482A611}" cache="Slicer_Self_Employed" caption="Self_Employed" style="SlicerStyleLight3" rowHeight="234950"/>
  <slicer name="Self_Employed 2" xr10:uid="{CED22D47-F843-4571-AC2C-1D203385D21E}" cache="Slicer_Self_Employed" caption="Self_Employed" style="SlicerStyleLight3" rowHeight="234950"/>
  <slicer name="Self_Employed 3" xr10:uid="{C8E4017F-4A40-4B7B-B6CE-B78A6BA457A9}" cache="Slicer_Self_Employed" caption="Self_Employed" style="SlicerStyleLight3" rowHeight="234950"/>
  <slicer name="Self_Employed 4" xr10:uid="{1C07E045-D554-46C9-ABC9-A98D140CF89D}" cache="Slicer_Self_Employed" caption="Self_Employed" style="SlicerStyleLight3" rowHeight="234950"/>
  <slicer name="Credit_History" xr10:uid="{CF4CC88C-8E49-484D-AC83-3F1413D758E5}" cache="Slicer_Credit_History" caption="Credit_History" style="SlicerStyleLight3" rowHeight="234950"/>
  <slicer name="Credit_History 1" xr10:uid="{DAF63F6D-D801-490F-94A4-D585F0DFA6A2}" cache="Slicer_Credit_History" caption="Credit_History" style="SlicerStyleLight3" rowHeight="234950"/>
  <slicer name="Credit_History 2" xr10:uid="{5A613592-0510-44EE-A1A9-343576BD62D5}" cache="Slicer_Credit_History" caption="Credit_History" style="SlicerStyleLight3" rowHeight="234950"/>
  <slicer name="Credit_History 3" xr10:uid="{7AB7C147-55C1-453F-8FFC-02527E9D3947}" cache="Slicer_Credit_History" caption="Credit_History" style="SlicerStyleLight3" rowHeight="234950"/>
  <slicer name="Credit_History 4" xr10:uid="{1A7C2AB4-E19C-404A-9DCD-5252801FEC20}" cache="Slicer_Credit_History" caption="Credit_History" style="SlicerStyleLight3" rowHeight="234950"/>
  <slicer name="Filter by Property_Area" xr10:uid="{DB4186A3-0B2B-4548-88BB-F40E7AE3E7F4}" cache="Slicer_Property_Area" caption="Property_Area" style="SlicerStyleLight3" rowHeight="234950"/>
  <slicer name="Filter by Property_Area 1" xr10:uid="{0086F0DC-F318-48CD-BF64-D8A7E5573C0E}" cache="Slicer_Property_Area" caption="Property_Area" style="SlicerStyleLight3" rowHeight="234950"/>
  <slicer name="Filter by Property_Area 2" xr10:uid="{D973A29A-A804-4A6E-B964-ECFFBFC1291B}" cache="Slicer_Property_Area" caption="Property_Area" style="SlicerStyleLight3" rowHeight="234950"/>
  <slicer name="Filter by Property_Area 3" xr10:uid="{A78BA255-F6AE-4B46-B693-47680A3525FC}" cache="Slicer_Property_Area" caption="Property_Area" style="SlicerStyleLight3" rowHeight="234950"/>
  <slicer name="Filter by Property_Area 4" xr10:uid="{3ACC8066-5344-494D-88F4-D7E58D526D93}" cache="Slicer_Property_Area" caption="Property_Area" style="SlicerStyleLigh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 displayName="Table" ref="A1:S615" totalsRowShown="0">
  <autoFilter ref="A1:S615" xr:uid="{00000000-0009-0000-0100-000001000000}"/>
  <tableColumns count="19">
    <tableColumn id="1" xr3:uid="{00000000-0010-0000-0000-000001000000}" name="Loan_ID"/>
    <tableColumn id="2" xr3:uid="{00000000-0010-0000-0000-000002000000}" name="Gender"/>
    <tableColumn id="3" xr3:uid="{00000000-0010-0000-0000-000003000000}" name="Married"/>
    <tableColumn id="4" xr3:uid="{00000000-0010-0000-0000-000004000000}" name="Dependents"/>
    <tableColumn id="5" xr3:uid="{00000000-0010-0000-0000-000005000000}" name="Education"/>
    <tableColumn id="6" xr3:uid="{00000000-0010-0000-0000-000006000000}" name="Self_Employed"/>
    <tableColumn id="7" xr3:uid="{00000000-0010-0000-0000-000007000000}" name="Applicant Income" dataDxfId="23" dataCellStyle="Currency"/>
    <tableColumn id="8" xr3:uid="{00000000-0010-0000-0000-000008000000}" name="Co-applicant Income" dataDxfId="22" dataCellStyle="Currency"/>
    <tableColumn id="9" xr3:uid="{00000000-0010-0000-0000-000009000000}" name="Loan Amount" dataDxfId="21" dataCellStyle="Currency"/>
    <tableColumn id="10" xr3:uid="{00000000-0010-0000-0000-00000A000000}" name="Loan_Amount_Term"/>
    <tableColumn id="11" xr3:uid="{00000000-0010-0000-0000-00000B000000}" name="Credit_History"/>
    <tableColumn id="12" xr3:uid="{00000000-0010-0000-0000-00000C000000}" name="Property_Area"/>
    <tableColumn id="13" xr3:uid="{00000000-0010-0000-0000-00000D000000}" name="Loan_Status"/>
    <tableColumn id="14" xr3:uid="{00000000-0010-0000-0000-00000E000000}" name="Total Income">
      <calculatedColumnFormula>G2+H2</calculatedColumnFormula>
    </tableColumn>
    <tableColumn id="15" xr3:uid="{00000000-0010-0000-0000-00000F000000}" name="Income Band">
      <calculatedColumnFormula>IF(N2&lt;4000,"Low", IF(N2&lt;8000, "Medium", "High"))</calculatedColumnFormula>
    </tableColumn>
    <tableColumn id="16" xr3:uid="{00000000-0010-0000-0000-000010000000}" name="Loan to Income Ratio" dataDxfId="20">
      <calculatedColumnFormula>I2/N2</calculatedColumnFormula>
    </tableColumn>
    <tableColumn id="17" xr3:uid="{00000000-0010-0000-0000-000011000000}" name="Loan Amount Band">
      <calculatedColumnFormula>IF(I2&lt;100, "Small", IF(I2&lt;200, "Medium", "Large"))</calculatedColumnFormula>
    </tableColumn>
    <tableColumn id="18" xr3:uid="{00000000-0010-0000-0000-000012000000}" name="Approval Flag" dataDxfId="19">
      <calculatedColumnFormula>IF(M2="Y", 1*1, 1*0)</calculatedColumnFormula>
    </tableColumn>
    <tableColumn id="19" xr3:uid="{00000000-0010-0000-0000-000013000000}" name="Area Code">
      <calculatedColumnFormula>IF(L2="Urban","1", IF(L2="Rural", "2", IF(L2="Semiurban","3")))</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52C930F-CA17-42E7-A90B-A5D8A96A3FAB}" name="Table2" displayName="Table2" ref="B35:D53" totalsRowShown="0">
  <autoFilter ref="B35:D53" xr:uid="{052C930F-CA17-42E7-A90B-A5D8A96A3FAB}"/>
  <tableColumns count="3">
    <tableColumn id="1" xr3:uid="{CCC3D7AA-024F-4DFE-8D5F-C7CD570496B0}" name="ApplicantIncome" dataDxfId="11"/>
    <tableColumn id="2" xr3:uid="{8826A731-40F3-4DAD-ABE0-4D29D70DD96B}" name="Average of Loan Amount" dataDxfId="10"/>
    <tableColumn id="3" xr3:uid="{D795EE43-9A49-4534-BF0F-9552C6E919C3}" name="Approval Rate" dataDxfId="9" dataCellStyle="Percent"/>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hyperlink" Target="https://www.linkedin.com/in/eveline-wasonga/"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206"/>
  <sheetViews>
    <sheetView showGridLines="0" showRowColHeaders="0" tabSelected="1" zoomScale="70" zoomScaleNormal="70" workbookViewId="0">
      <selection activeCell="AC18" sqref="AC18"/>
    </sheetView>
  </sheetViews>
  <sheetFormatPr defaultColWidth="9" defaultRowHeight="13.8" x14ac:dyDescent="0.25"/>
  <cols>
    <col min="1" max="1" width="11" style="21" customWidth="1"/>
    <col min="2" max="2" width="8.69921875" style="21" customWidth="1"/>
    <col min="3" max="3" width="2.59765625" style="21" customWidth="1"/>
    <col min="4" max="4" width="9" style="21"/>
    <col min="5" max="5" width="9.59765625" style="21" customWidth="1"/>
    <col min="6" max="6" width="9" style="21"/>
    <col min="7" max="7" width="4.296875" style="21" customWidth="1"/>
    <col min="8" max="8" width="12.5" style="21" customWidth="1"/>
    <col min="9" max="9" width="11.09765625" style="21" customWidth="1"/>
    <col min="10" max="10" width="12.69921875" style="21" customWidth="1"/>
    <col min="11" max="11" width="4.796875" style="21" customWidth="1"/>
    <col min="12" max="12" width="10.59765625" style="21" customWidth="1"/>
    <col min="13" max="13" width="9" style="21"/>
    <col min="14" max="14" width="10.09765625" style="21" customWidth="1"/>
    <col min="15" max="15" width="8.796875" style="21" customWidth="1"/>
    <col min="16" max="16" width="12.3984375" style="21" customWidth="1"/>
    <col min="17" max="17" width="11.69921875" style="21" customWidth="1"/>
    <col min="18" max="18" width="13.796875" style="21" customWidth="1"/>
    <col min="19" max="19" width="6.296875" style="21" customWidth="1"/>
    <col min="20" max="16384" width="9" style="21"/>
  </cols>
  <sheetData>
    <row r="1" spans="1:28" ht="14.4" customHeight="1" x14ac:dyDescent="0.25">
      <c r="A1" s="47" t="s">
        <v>647</v>
      </c>
      <c r="B1" s="48"/>
      <c r="C1" s="48"/>
      <c r="D1" s="48"/>
      <c r="E1" s="48"/>
      <c r="F1" s="48"/>
      <c r="G1" s="48"/>
      <c r="H1" s="48"/>
      <c r="I1" s="48"/>
      <c r="J1" s="48"/>
      <c r="K1" s="48"/>
      <c r="L1" s="48"/>
      <c r="M1" s="48"/>
      <c r="N1" s="48"/>
    </row>
    <row r="2" spans="1:28" ht="14.4" customHeight="1" x14ac:dyDescent="0.25">
      <c r="A2" s="47"/>
      <c r="B2" s="48"/>
      <c r="C2" s="48"/>
      <c r="D2" s="48"/>
      <c r="E2" s="48"/>
      <c r="F2" s="48"/>
      <c r="G2" s="48"/>
      <c r="H2" s="48"/>
      <c r="I2" s="48"/>
      <c r="J2" s="48"/>
      <c r="K2" s="48"/>
      <c r="L2" s="48"/>
      <c r="M2" s="48"/>
      <c r="N2" s="48"/>
    </row>
    <row r="3" spans="1:28" ht="21" customHeight="1" x14ac:dyDescent="0.65">
      <c r="A3" s="54" t="s">
        <v>648</v>
      </c>
      <c r="B3" s="54"/>
      <c r="C3" s="33"/>
      <c r="D3" s="50" t="s">
        <v>649</v>
      </c>
      <c r="E3" s="50"/>
      <c r="F3" s="50"/>
      <c r="G3" s="23"/>
      <c r="H3" s="24"/>
      <c r="I3" s="24"/>
      <c r="J3" s="24"/>
      <c r="K3" s="24"/>
      <c r="L3" s="24"/>
      <c r="M3" s="24"/>
      <c r="N3" s="24"/>
      <c r="O3" s="25"/>
      <c r="P3" s="25"/>
      <c r="Q3" s="25"/>
      <c r="R3" s="25"/>
      <c r="S3" s="25"/>
      <c r="T3" s="25"/>
      <c r="U3" s="25"/>
      <c r="V3" s="25"/>
      <c r="W3" s="28"/>
      <c r="X3" s="28"/>
      <c r="Y3" s="28"/>
      <c r="Z3" s="28"/>
      <c r="AA3" s="28"/>
      <c r="AB3" s="28"/>
    </row>
    <row r="4" spans="1:28" ht="18" x14ac:dyDescent="0.35">
      <c r="A4" s="53" t="s">
        <v>1</v>
      </c>
      <c r="B4" s="53"/>
      <c r="C4" s="25"/>
      <c r="D4" s="40"/>
      <c r="E4" s="40"/>
      <c r="F4" s="40"/>
      <c r="G4" s="25"/>
      <c r="H4" s="40"/>
      <c r="I4" s="40"/>
      <c r="J4" s="40"/>
      <c r="K4" s="25"/>
      <c r="L4" s="40"/>
      <c r="M4" s="40"/>
      <c r="N4" s="40"/>
      <c r="O4" s="25"/>
      <c r="P4" s="40"/>
      <c r="Q4" s="40"/>
      <c r="R4" s="40"/>
      <c r="S4" s="25"/>
      <c r="T4" s="40"/>
      <c r="U4" s="40"/>
      <c r="V4" s="40"/>
      <c r="W4" s="25"/>
      <c r="X4" s="25"/>
      <c r="Y4" s="25"/>
      <c r="Z4" s="25"/>
      <c r="AA4" s="25"/>
      <c r="AB4" s="25"/>
    </row>
    <row r="5" spans="1:28" ht="18" x14ac:dyDescent="0.35">
      <c r="A5" s="53" t="s">
        <v>4</v>
      </c>
      <c r="B5" s="53"/>
      <c r="C5" s="25"/>
      <c r="D5" s="41" t="s">
        <v>651</v>
      </c>
      <c r="E5" s="41"/>
      <c r="F5" s="41"/>
      <c r="G5" s="26"/>
      <c r="H5" s="41" t="s">
        <v>652</v>
      </c>
      <c r="I5" s="41"/>
      <c r="J5" s="41"/>
      <c r="K5" s="26"/>
      <c r="L5" s="41" t="s">
        <v>653</v>
      </c>
      <c r="M5" s="41"/>
      <c r="N5" s="41"/>
      <c r="O5" s="26"/>
      <c r="P5" s="41" t="s">
        <v>654</v>
      </c>
      <c r="Q5" s="41"/>
      <c r="R5" s="41"/>
      <c r="S5" s="26"/>
      <c r="T5" s="41" t="s">
        <v>650</v>
      </c>
      <c r="U5" s="41"/>
      <c r="V5" s="41"/>
      <c r="W5" s="25"/>
      <c r="X5" s="25"/>
      <c r="Y5" s="25"/>
      <c r="Z5" s="25"/>
      <c r="AA5" s="25"/>
      <c r="AB5" s="25"/>
    </row>
    <row r="6" spans="1:28" ht="18" x14ac:dyDescent="0.35">
      <c r="A6" s="53" t="s">
        <v>656</v>
      </c>
      <c r="B6" s="53"/>
      <c r="C6" s="25"/>
      <c r="D6" s="49">
        <f>COUNTIF(Data!R2:R615,"1")/COUNTA(Data!R2:R615)</f>
        <v>0.68729641693811072</v>
      </c>
      <c r="E6" s="49"/>
      <c r="F6" s="49"/>
      <c r="G6" s="26"/>
      <c r="H6" s="43">
        <f>AVERAGEIFS(Data!I2:I615,Data!R2:R615, "1")</f>
        <v>140.53317535545023</v>
      </c>
      <c r="I6" s="43"/>
      <c r="J6" s="43"/>
      <c r="K6" s="26"/>
      <c r="L6" s="44">
        <f>AVERAGEIFS(Data!G2:G615,Data!R2:R615,"1")</f>
        <v>5384.0687203791467</v>
      </c>
      <c r="M6" s="44"/>
      <c r="N6" s="44"/>
      <c r="O6" s="26"/>
      <c r="P6" s="41" t="str">
        <f>Summary!A29</f>
        <v>Semiurban</v>
      </c>
      <c r="Q6" s="41"/>
      <c r="R6" s="41"/>
      <c r="S6" s="26"/>
      <c r="T6" s="42">
        <f>COUNTIFS(Data!K:K,0,Data!R:R,"1")/COUNTIF(Data!K:K,0)</f>
        <v>0.21621621621621623</v>
      </c>
      <c r="U6" s="42"/>
      <c r="V6" s="42"/>
      <c r="W6" s="25"/>
      <c r="X6" s="25"/>
      <c r="Y6" s="25"/>
      <c r="Z6" s="25"/>
      <c r="AA6" s="25"/>
      <c r="AB6" s="25"/>
    </row>
    <row r="7" spans="1:28" ht="18" x14ac:dyDescent="0.35">
      <c r="A7" s="53" t="s">
        <v>657</v>
      </c>
      <c r="B7" s="53"/>
      <c r="C7" s="25"/>
      <c r="D7" s="40"/>
      <c r="E7" s="40"/>
      <c r="F7" s="40"/>
      <c r="G7" s="25"/>
      <c r="H7" s="40"/>
      <c r="I7" s="40"/>
      <c r="J7" s="40"/>
      <c r="K7" s="25"/>
      <c r="L7" s="45"/>
      <c r="M7" s="45"/>
      <c r="N7" s="45"/>
      <c r="O7" s="25"/>
      <c r="P7" s="40"/>
      <c r="Q7" s="40"/>
      <c r="R7" s="40"/>
      <c r="S7" s="25"/>
      <c r="T7" s="40"/>
      <c r="U7" s="40"/>
      <c r="V7" s="40"/>
      <c r="W7" s="25"/>
      <c r="X7" s="25"/>
      <c r="Y7" s="25"/>
      <c r="Z7" s="25"/>
      <c r="AA7" s="25"/>
      <c r="AB7" s="25"/>
    </row>
    <row r="8" spans="1:28" ht="18" x14ac:dyDescent="0.35">
      <c r="A8" s="53" t="s">
        <v>658</v>
      </c>
      <c r="B8" s="53"/>
      <c r="C8" s="25"/>
      <c r="D8" s="25"/>
      <c r="E8" s="25"/>
      <c r="F8" s="25"/>
      <c r="G8" s="25"/>
      <c r="H8" s="25"/>
      <c r="I8" s="25"/>
      <c r="J8" s="25"/>
      <c r="K8" s="25"/>
      <c r="L8" s="25"/>
      <c r="M8" s="25"/>
      <c r="N8" s="25"/>
      <c r="O8" s="25"/>
      <c r="P8" s="25"/>
      <c r="Q8" s="25"/>
      <c r="R8" s="25"/>
      <c r="S8" s="25"/>
      <c r="T8" s="25"/>
      <c r="U8" s="25"/>
      <c r="V8" s="25"/>
      <c r="W8" s="25"/>
      <c r="X8" s="25"/>
      <c r="Y8" s="25"/>
      <c r="Z8" s="25"/>
      <c r="AA8" s="25"/>
      <c r="AB8" s="25"/>
    </row>
    <row r="9" spans="1:28" ht="18" x14ac:dyDescent="0.35">
      <c r="A9" s="53" t="s">
        <v>659</v>
      </c>
      <c r="B9" s="53"/>
      <c r="C9" s="25"/>
      <c r="D9" s="51" t="s">
        <v>712</v>
      </c>
      <c r="E9" s="51"/>
      <c r="F9" s="51"/>
      <c r="G9" s="51"/>
      <c r="H9" s="51"/>
      <c r="I9" s="51"/>
      <c r="J9" s="51"/>
      <c r="K9" s="51"/>
      <c r="L9" s="51"/>
      <c r="M9" s="51"/>
      <c r="N9" s="51"/>
      <c r="O9" s="51"/>
      <c r="P9" s="51"/>
      <c r="Q9" s="51"/>
      <c r="R9" s="51"/>
      <c r="S9" s="51"/>
      <c r="T9" s="51"/>
      <c r="U9" s="51"/>
      <c r="V9" s="51"/>
      <c r="W9" s="25"/>
      <c r="X9" s="25"/>
      <c r="Y9" s="25"/>
      <c r="Z9" s="25"/>
      <c r="AA9" s="25"/>
      <c r="AB9" s="25"/>
    </row>
    <row r="10" spans="1:28" ht="18" x14ac:dyDescent="0.35">
      <c r="A10" s="53" t="s">
        <v>668</v>
      </c>
      <c r="B10" s="53"/>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row>
    <row r="11" spans="1:28" ht="16.8" customHeight="1" x14ac:dyDescent="0.3">
      <c r="A11" s="39"/>
      <c r="B11" s="39"/>
      <c r="C11" s="25"/>
      <c r="D11" s="38" t="s">
        <v>655</v>
      </c>
      <c r="E11" s="38"/>
      <c r="F11" s="38"/>
      <c r="G11" s="25"/>
      <c r="H11" s="25"/>
      <c r="I11" s="25"/>
      <c r="J11" s="25"/>
      <c r="K11" s="25"/>
      <c r="L11" s="25"/>
      <c r="M11" s="25"/>
      <c r="N11" s="25"/>
      <c r="O11" s="25"/>
      <c r="P11" s="25"/>
      <c r="Q11" s="25"/>
      <c r="R11" s="25"/>
      <c r="S11" s="25"/>
      <c r="T11" s="25"/>
      <c r="U11" s="25"/>
      <c r="V11" s="25"/>
      <c r="W11" s="25"/>
      <c r="X11" s="25"/>
      <c r="Y11" s="25"/>
      <c r="Z11" s="25"/>
      <c r="AA11" s="25"/>
      <c r="AB11" s="25"/>
    </row>
    <row r="12" spans="1:28" ht="14.4" customHeight="1" x14ac:dyDescent="0.25">
      <c r="C12" s="34"/>
      <c r="D12" s="25"/>
      <c r="E12" s="25"/>
      <c r="F12" s="25"/>
      <c r="G12" s="25"/>
      <c r="H12" s="25"/>
      <c r="I12" s="25"/>
      <c r="J12" s="25"/>
      <c r="K12" s="25"/>
      <c r="L12" s="25"/>
      <c r="M12" s="25"/>
      <c r="N12" s="25"/>
      <c r="O12" s="25"/>
      <c r="P12" s="25"/>
      <c r="Q12" s="25"/>
      <c r="R12" s="25"/>
      <c r="S12" s="25"/>
      <c r="T12" s="25"/>
      <c r="U12" s="25"/>
      <c r="V12" s="25"/>
      <c r="W12" s="25"/>
      <c r="X12" s="25"/>
      <c r="Y12" s="25"/>
      <c r="Z12" s="25"/>
      <c r="AA12" s="25"/>
      <c r="AB12" s="25"/>
    </row>
    <row r="13" spans="1:28" x14ac:dyDescent="0.25">
      <c r="A13" s="39"/>
      <c r="B13" s="39"/>
      <c r="C13" s="34"/>
      <c r="D13" s="25"/>
      <c r="E13" s="25"/>
      <c r="F13" s="25"/>
      <c r="G13" s="25"/>
      <c r="H13" s="25"/>
      <c r="I13" s="25"/>
      <c r="J13" s="25"/>
      <c r="K13" s="25"/>
      <c r="L13" s="25"/>
      <c r="M13" s="25"/>
      <c r="N13" s="25"/>
      <c r="O13" s="25"/>
      <c r="P13" s="25"/>
      <c r="Q13" s="25"/>
      <c r="R13" s="25"/>
      <c r="S13" s="25"/>
      <c r="T13" s="25"/>
      <c r="U13" s="25"/>
      <c r="V13" s="25"/>
      <c r="W13" s="25"/>
      <c r="X13" s="25"/>
      <c r="Y13" s="25"/>
      <c r="Z13" s="25"/>
      <c r="AA13" s="25"/>
      <c r="AB13" s="25"/>
    </row>
    <row r="14" spans="1:28" x14ac:dyDescent="0.25">
      <c r="C14" s="34"/>
      <c r="D14" s="25"/>
      <c r="E14" s="25"/>
      <c r="F14" s="25"/>
      <c r="G14" s="25"/>
      <c r="H14" s="25"/>
      <c r="I14" s="25"/>
      <c r="J14" s="25"/>
      <c r="K14" s="25"/>
      <c r="L14" s="25"/>
      <c r="M14" s="25"/>
      <c r="N14" s="25"/>
      <c r="O14" s="25"/>
      <c r="P14" s="25"/>
      <c r="Q14" s="25"/>
      <c r="R14" s="25"/>
      <c r="S14" s="25"/>
      <c r="T14" s="25"/>
      <c r="U14" s="25"/>
      <c r="V14" s="25"/>
      <c r="W14" s="25"/>
      <c r="X14" s="25"/>
      <c r="Y14" s="25"/>
      <c r="Z14" s="25"/>
      <c r="AA14" s="25"/>
      <c r="AB14" s="25"/>
    </row>
    <row r="15" spans="1:28" x14ac:dyDescent="0.25">
      <c r="A15" s="39"/>
      <c r="B15" s="39"/>
      <c r="C15" s="34"/>
      <c r="D15" s="25"/>
      <c r="E15" s="25"/>
      <c r="F15" s="25"/>
      <c r="G15" s="25"/>
      <c r="H15" s="25"/>
      <c r="I15" s="25"/>
      <c r="J15" s="25"/>
      <c r="K15" s="25"/>
      <c r="L15" s="25"/>
      <c r="M15" s="25"/>
      <c r="N15" s="25"/>
      <c r="O15" s="25"/>
      <c r="P15" s="25"/>
      <c r="Q15" s="25"/>
      <c r="R15" s="25"/>
      <c r="S15" s="25"/>
      <c r="T15" s="25"/>
      <c r="U15" s="25"/>
      <c r="V15" s="25"/>
      <c r="W15" s="25"/>
      <c r="X15" s="25"/>
      <c r="Y15" s="25"/>
      <c r="Z15" s="25"/>
      <c r="AA15" s="25"/>
      <c r="AB15" s="25"/>
    </row>
    <row r="16" spans="1:28" x14ac:dyDescent="0.25">
      <c r="C16" s="34"/>
      <c r="D16" s="25"/>
      <c r="E16" s="25"/>
      <c r="F16" s="25"/>
      <c r="G16" s="25"/>
      <c r="H16" s="25"/>
      <c r="I16" s="25"/>
      <c r="J16" s="25"/>
      <c r="K16" s="25"/>
      <c r="L16" s="25"/>
      <c r="M16" s="25"/>
      <c r="N16" s="25"/>
      <c r="O16" s="25"/>
      <c r="P16" s="25"/>
      <c r="Q16" s="25"/>
      <c r="R16" s="25"/>
      <c r="S16" s="25"/>
      <c r="T16" s="25"/>
      <c r="U16" s="25"/>
      <c r="V16" s="25"/>
      <c r="W16" s="25"/>
      <c r="X16" s="25"/>
      <c r="Y16" s="25"/>
      <c r="Z16" s="25"/>
      <c r="AA16" s="25"/>
      <c r="AB16" s="25"/>
    </row>
    <row r="17" spans="1:28" ht="15.6" x14ac:dyDescent="0.3">
      <c r="A17" s="37"/>
      <c r="B17" s="37"/>
      <c r="C17" s="34"/>
      <c r="D17" s="25"/>
      <c r="E17" s="25"/>
      <c r="F17" s="25"/>
      <c r="G17" s="25"/>
      <c r="H17" s="25"/>
      <c r="I17" s="25"/>
      <c r="J17" s="25"/>
      <c r="K17" s="25"/>
      <c r="L17" s="25"/>
      <c r="M17" s="25"/>
      <c r="N17" s="25"/>
      <c r="O17" s="25"/>
      <c r="P17" s="25"/>
      <c r="Q17" s="25"/>
      <c r="R17" s="25"/>
      <c r="S17" s="25"/>
      <c r="T17" s="25"/>
      <c r="U17" s="25"/>
      <c r="V17" s="25"/>
      <c r="W17" s="25"/>
      <c r="X17" s="25"/>
      <c r="Y17" s="25"/>
      <c r="Z17" s="25"/>
      <c r="AA17" s="25"/>
      <c r="AB17" s="25"/>
    </row>
    <row r="18" spans="1:28" ht="15.6" x14ac:dyDescent="0.3">
      <c r="A18" s="37"/>
      <c r="B18" s="37"/>
      <c r="C18" s="34"/>
      <c r="D18" s="25"/>
      <c r="E18" s="25"/>
      <c r="F18" s="25"/>
      <c r="G18" s="25"/>
      <c r="H18" s="25"/>
      <c r="I18" s="25"/>
      <c r="J18" s="25"/>
      <c r="K18" s="25"/>
      <c r="L18" s="25"/>
      <c r="M18" s="25"/>
      <c r="N18" s="25"/>
      <c r="O18" s="25"/>
      <c r="P18" s="25"/>
      <c r="Q18" s="25"/>
      <c r="R18" s="25"/>
      <c r="S18" s="25"/>
      <c r="T18" s="25"/>
      <c r="U18" s="25"/>
      <c r="V18" s="25"/>
      <c r="W18" s="25"/>
      <c r="X18" s="25"/>
      <c r="Y18" s="25"/>
      <c r="Z18" s="25"/>
      <c r="AA18" s="25"/>
      <c r="AB18" s="25"/>
    </row>
    <row r="19" spans="1:28" ht="15.6" x14ac:dyDescent="0.3">
      <c r="A19" s="37"/>
      <c r="B19" s="37"/>
      <c r="C19" s="34"/>
      <c r="D19" s="25"/>
      <c r="E19" s="25"/>
      <c r="F19" s="25"/>
      <c r="G19" s="25"/>
      <c r="H19" s="25"/>
      <c r="I19" s="25"/>
      <c r="J19" s="25"/>
      <c r="K19" s="25"/>
      <c r="L19" s="25"/>
      <c r="M19" s="25"/>
      <c r="N19" s="25"/>
      <c r="O19" s="25"/>
      <c r="P19" s="25"/>
      <c r="Q19" s="25"/>
      <c r="R19" s="25"/>
      <c r="S19" s="25"/>
      <c r="T19" s="25"/>
      <c r="U19" s="25"/>
      <c r="V19" s="25"/>
      <c r="W19" s="25"/>
      <c r="X19" s="25"/>
      <c r="Y19" s="25"/>
      <c r="Z19" s="25"/>
      <c r="AA19" s="25"/>
      <c r="AB19" s="25"/>
    </row>
    <row r="20" spans="1:28" ht="15.6" x14ac:dyDescent="0.3">
      <c r="A20" s="37"/>
      <c r="B20" s="37"/>
      <c r="C20" s="34"/>
      <c r="D20" s="25"/>
      <c r="E20" s="25"/>
      <c r="F20" s="25"/>
      <c r="G20" s="25"/>
      <c r="H20" s="25"/>
      <c r="I20" s="25"/>
      <c r="J20" s="25"/>
      <c r="K20" s="25"/>
      <c r="L20" s="25"/>
      <c r="M20" s="25"/>
      <c r="N20" s="25"/>
      <c r="O20" s="25"/>
      <c r="P20" s="25"/>
      <c r="Q20" s="25"/>
      <c r="R20" s="25"/>
      <c r="S20" s="25"/>
      <c r="T20" s="25"/>
      <c r="U20" s="25"/>
      <c r="V20" s="25"/>
      <c r="W20" s="25"/>
      <c r="X20" s="25"/>
      <c r="Y20" s="25"/>
      <c r="Z20" s="25"/>
      <c r="AA20" s="25"/>
      <c r="AB20" s="25"/>
    </row>
    <row r="21" spans="1:28" ht="15.6" x14ac:dyDescent="0.3">
      <c r="A21" s="37"/>
      <c r="B21" s="37"/>
      <c r="C21" s="34"/>
      <c r="D21" s="25"/>
      <c r="E21" s="25"/>
      <c r="F21" s="25"/>
      <c r="G21" s="25"/>
      <c r="H21" s="25"/>
      <c r="I21" s="25"/>
      <c r="J21" s="25"/>
      <c r="K21" s="25"/>
      <c r="L21" s="25"/>
      <c r="M21" s="25"/>
      <c r="N21" s="25"/>
      <c r="O21" s="25"/>
      <c r="P21" s="25"/>
      <c r="Q21" s="25"/>
      <c r="R21" s="25"/>
      <c r="S21" s="25"/>
      <c r="T21" s="25"/>
      <c r="U21" s="25"/>
      <c r="V21" s="25"/>
      <c r="W21" s="25"/>
      <c r="X21" s="25"/>
      <c r="Y21" s="25"/>
      <c r="Z21" s="25"/>
      <c r="AA21" s="25"/>
      <c r="AB21" s="25"/>
    </row>
    <row r="22" spans="1:28" ht="15.6" x14ac:dyDescent="0.3">
      <c r="A22" s="37"/>
      <c r="B22" s="37"/>
      <c r="C22" s="34"/>
      <c r="D22" s="25"/>
      <c r="E22" s="25"/>
      <c r="F22" s="25"/>
      <c r="G22" s="25"/>
      <c r="H22" s="25"/>
      <c r="I22" s="25"/>
      <c r="J22" s="25"/>
      <c r="K22" s="25"/>
      <c r="L22" s="25"/>
      <c r="M22" s="25"/>
      <c r="N22" s="25"/>
      <c r="O22" s="25"/>
      <c r="P22" s="25"/>
      <c r="Q22" s="25"/>
      <c r="R22" s="25"/>
      <c r="S22" s="25"/>
      <c r="T22" s="25"/>
      <c r="U22" s="25"/>
      <c r="V22" s="25"/>
      <c r="W22" s="25"/>
      <c r="X22" s="25"/>
      <c r="Y22" s="25"/>
      <c r="Z22" s="25"/>
      <c r="AA22" s="25"/>
      <c r="AB22" s="25"/>
    </row>
    <row r="23" spans="1:28" ht="15.6" x14ac:dyDescent="0.3">
      <c r="A23" s="22"/>
      <c r="B23" s="22"/>
      <c r="C23" s="34"/>
      <c r="D23" s="25"/>
      <c r="E23" s="25"/>
      <c r="F23" s="25"/>
      <c r="G23" s="25"/>
      <c r="H23" s="25"/>
      <c r="I23" s="25"/>
      <c r="J23" s="25"/>
      <c r="K23" s="25"/>
      <c r="L23" s="25"/>
      <c r="M23" s="25"/>
      <c r="N23" s="25"/>
      <c r="O23" s="25"/>
      <c r="P23" s="25"/>
      <c r="Q23" s="25"/>
      <c r="R23" s="25"/>
      <c r="S23" s="25"/>
      <c r="T23" s="25"/>
      <c r="U23" s="25"/>
      <c r="V23" s="25"/>
      <c r="W23" s="25"/>
      <c r="X23" s="25"/>
      <c r="Y23" s="25"/>
      <c r="Z23" s="25"/>
      <c r="AA23" s="25"/>
      <c r="AB23" s="25"/>
    </row>
    <row r="24" spans="1:28" ht="15.6" x14ac:dyDescent="0.3">
      <c r="A24" s="22"/>
      <c r="B24" s="22"/>
      <c r="C24" s="34"/>
      <c r="D24" s="25"/>
      <c r="E24" s="25"/>
      <c r="F24" s="25"/>
      <c r="G24" s="25"/>
      <c r="H24" s="25"/>
      <c r="I24" s="25"/>
      <c r="J24" s="25"/>
      <c r="K24" s="25"/>
      <c r="L24" s="25"/>
      <c r="M24" s="25"/>
      <c r="N24" s="25"/>
      <c r="O24" s="25"/>
      <c r="P24" s="25"/>
      <c r="Q24" s="25"/>
      <c r="R24" s="25"/>
      <c r="S24" s="25"/>
      <c r="T24" s="25"/>
      <c r="U24" s="25"/>
      <c r="V24" s="25"/>
      <c r="W24" s="25"/>
      <c r="X24" s="25"/>
      <c r="Y24" s="25"/>
      <c r="Z24" s="25"/>
      <c r="AA24" s="25"/>
      <c r="AB24" s="25"/>
    </row>
    <row r="25" spans="1:28" x14ac:dyDescent="0.25">
      <c r="C25" s="34"/>
      <c r="D25" s="25"/>
      <c r="E25" s="25"/>
      <c r="F25" s="25"/>
      <c r="G25" s="25"/>
      <c r="H25" s="25"/>
      <c r="I25" s="25"/>
      <c r="J25" s="25"/>
      <c r="K25" s="25"/>
      <c r="L25" s="25"/>
      <c r="M25" s="25"/>
      <c r="N25" s="25"/>
      <c r="O25" s="25"/>
      <c r="P25" s="25"/>
      <c r="Q25" s="25"/>
      <c r="R25" s="25"/>
      <c r="S25" s="25"/>
      <c r="T25" s="25"/>
      <c r="U25" s="25"/>
      <c r="V25" s="25"/>
      <c r="W25" s="25"/>
      <c r="X25" s="25"/>
      <c r="Y25" s="25"/>
      <c r="Z25" s="25"/>
      <c r="AA25" s="25"/>
      <c r="AB25" s="25"/>
    </row>
    <row r="26" spans="1:28" x14ac:dyDescent="0.25">
      <c r="C26" s="34"/>
      <c r="D26" s="25"/>
      <c r="E26" s="25"/>
      <c r="F26" s="25"/>
      <c r="G26" s="25"/>
      <c r="H26" s="25"/>
      <c r="I26" s="25"/>
      <c r="J26" s="25"/>
      <c r="K26" s="25"/>
      <c r="L26" s="25"/>
      <c r="M26" s="25"/>
      <c r="N26" s="25"/>
      <c r="O26" s="25"/>
      <c r="P26" s="25"/>
      <c r="Q26" s="25"/>
      <c r="R26" s="25"/>
      <c r="S26" s="25"/>
      <c r="T26" s="25"/>
      <c r="U26" s="25"/>
      <c r="V26" s="25"/>
      <c r="W26" s="25"/>
      <c r="X26" s="25"/>
      <c r="Y26" s="25"/>
      <c r="Z26" s="25"/>
      <c r="AA26" s="25"/>
      <c r="AB26" s="25"/>
    </row>
    <row r="27" spans="1:28" x14ac:dyDescent="0.25">
      <c r="C27" s="34"/>
      <c r="D27" s="25"/>
      <c r="E27" s="25"/>
      <c r="F27" s="25"/>
      <c r="G27" s="25"/>
      <c r="H27" s="25"/>
      <c r="I27" s="25"/>
      <c r="J27" s="25"/>
      <c r="K27" s="25"/>
      <c r="L27" s="25"/>
      <c r="M27" s="25"/>
      <c r="N27" s="25"/>
      <c r="O27" s="25"/>
      <c r="P27" s="25"/>
      <c r="Q27" s="25"/>
      <c r="R27" s="25"/>
      <c r="S27" s="25"/>
      <c r="T27" s="25"/>
      <c r="U27" s="25"/>
      <c r="V27" s="25"/>
      <c r="W27" s="25"/>
      <c r="X27" s="25"/>
      <c r="Y27" s="25"/>
      <c r="Z27" s="25"/>
      <c r="AA27" s="25"/>
      <c r="AB27" s="25"/>
    </row>
    <row r="28" spans="1:28" x14ac:dyDescent="0.25">
      <c r="C28" s="34"/>
      <c r="D28" s="25"/>
      <c r="E28" s="25"/>
      <c r="F28" s="25"/>
      <c r="G28" s="25"/>
      <c r="H28" s="25"/>
      <c r="I28" s="25"/>
      <c r="J28" s="25"/>
      <c r="K28" s="25"/>
      <c r="L28" s="25"/>
      <c r="M28" s="25"/>
      <c r="N28" s="25"/>
      <c r="O28" s="25"/>
      <c r="P28" s="25"/>
      <c r="Q28" s="25"/>
      <c r="R28" s="25"/>
      <c r="S28" s="25"/>
      <c r="T28" s="25"/>
      <c r="U28" s="25"/>
      <c r="V28" s="25"/>
      <c r="W28" s="25"/>
      <c r="X28" s="25"/>
      <c r="Y28" s="25"/>
      <c r="Z28" s="25"/>
      <c r="AA28" s="25"/>
      <c r="AB28" s="25"/>
    </row>
    <row r="29" spans="1:28" x14ac:dyDescent="0.25">
      <c r="C29" s="34"/>
      <c r="D29" s="25"/>
      <c r="E29" s="25"/>
      <c r="F29" s="25"/>
      <c r="G29" s="25"/>
      <c r="H29" s="25"/>
      <c r="I29" s="25"/>
      <c r="J29" s="25"/>
      <c r="K29" s="25"/>
      <c r="L29" s="25"/>
      <c r="M29" s="25"/>
      <c r="N29" s="25"/>
      <c r="O29" s="25"/>
      <c r="P29" s="25"/>
      <c r="Q29" s="25"/>
      <c r="R29" s="25"/>
      <c r="S29" s="25"/>
      <c r="T29" s="25"/>
      <c r="U29" s="25"/>
      <c r="V29" s="25"/>
      <c r="W29" s="25"/>
      <c r="X29" s="25"/>
      <c r="Y29" s="25"/>
      <c r="Z29" s="25"/>
      <c r="AA29" s="25"/>
      <c r="AB29" s="25"/>
    </row>
    <row r="30" spans="1:28" x14ac:dyDescent="0.25">
      <c r="C30" s="34"/>
      <c r="D30" s="25"/>
      <c r="E30" s="25"/>
      <c r="F30" s="25"/>
      <c r="G30" s="25"/>
      <c r="H30" s="25"/>
      <c r="I30" s="25"/>
      <c r="J30" s="25"/>
      <c r="K30" s="25"/>
      <c r="L30" s="25"/>
      <c r="M30" s="25"/>
      <c r="N30" s="25"/>
      <c r="O30" s="25"/>
      <c r="P30" s="25"/>
      <c r="Q30" s="25"/>
      <c r="R30" s="25"/>
      <c r="S30" s="25"/>
      <c r="T30" s="25"/>
      <c r="U30" s="25"/>
      <c r="V30" s="25"/>
      <c r="W30" s="25"/>
      <c r="X30" s="25"/>
      <c r="Y30" s="25"/>
      <c r="Z30" s="25"/>
      <c r="AA30" s="25"/>
      <c r="AB30" s="25"/>
    </row>
    <row r="31" spans="1:28" x14ac:dyDescent="0.25">
      <c r="C31" s="34"/>
      <c r="D31" s="25"/>
      <c r="E31" s="25"/>
      <c r="F31" s="25"/>
      <c r="G31" s="25"/>
      <c r="H31" s="25"/>
      <c r="I31" s="25"/>
      <c r="J31" s="25"/>
      <c r="K31" s="25"/>
      <c r="L31" s="25"/>
      <c r="M31" s="25"/>
      <c r="N31" s="25"/>
      <c r="O31" s="25"/>
      <c r="P31" s="25"/>
      <c r="Q31" s="25"/>
      <c r="R31" s="25"/>
      <c r="S31" s="25"/>
      <c r="T31" s="25"/>
      <c r="U31" s="25"/>
      <c r="V31" s="25"/>
      <c r="W31" s="25"/>
      <c r="X31" s="25"/>
      <c r="Y31" s="25"/>
      <c r="Z31" s="25"/>
      <c r="AA31" s="25"/>
      <c r="AB31" s="25"/>
    </row>
    <row r="32" spans="1:28" x14ac:dyDescent="0.25">
      <c r="C32" s="34"/>
      <c r="D32" s="25"/>
      <c r="E32" s="25"/>
      <c r="F32" s="25"/>
      <c r="G32" s="25"/>
      <c r="H32" s="25"/>
      <c r="I32" s="25"/>
      <c r="J32" s="25"/>
      <c r="K32" s="25"/>
      <c r="L32" s="25"/>
      <c r="M32" s="25"/>
      <c r="N32" s="25"/>
      <c r="O32" s="25"/>
      <c r="P32" s="25"/>
      <c r="Q32" s="25"/>
      <c r="R32" s="25"/>
      <c r="S32" s="25"/>
      <c r="T32" s="25"/>
      <c r="U32" s="25"/>
      <c r="V32" s="25"/>
      <c r="W32" s="25"/>
      <c r="X32" s="25"/>
      <c r="Y32" s="25"/>
      <c r="Z32" s="25"/>
      <c r="AA32" s="25"/>
      <c r="AB32" s="25"/>
    </row>
    <row r="33" spans="3:28" x14ac:dyDescent="0.25">
      <c r="C33" s="34"/>
      <c r="D33" s="25"/>
      <c r="E33" s="25"/>
      <c r="F33" s="25"/>
      <c r="G33" s="25"/>
      <c r="H33" s="25"/>
      <c r="I33" s="25"/>
      <c r="J33" s="25"/>
      <c r="K33" s="25"/>
      <c r="L33" s="25"/>
      <c r="M33" s="25"/>
      <c r="N33" s="25"/>
      <c r="O33" s="25"/>
      <c r="P33" s="25"/>
      <c r="Q33" s="25"/>
      <c r="R33" s="25"/>
      <c r="S33" s="25"/>
      <c r="T33" s="25"/>
      <c r="U33" s="25"/>
      <c r="V33" s="25"/>
      <c r="W33" s="25"/>
      <c r="X33" s="25"/>
      <c r="Y33" s="25"/>
      <c r="Z33" s="25"/>
      <c r="AA33" s="25"/>
      <c r="AB33" s="25"/>
    </row>
    <row r="34" spans="3:28" x14ac:dyDescent="0.25">
      <c r="C34" s="34"/>
      <c r="D34" s="25"/>
      <c r="E34" s="25"/>
      <c r="F34" s="25"/>
      <c r="G34" s="25"/>
      <c r="H34" s="25"/>
      <c r="I34" s="25"/>
      <c r="J34" s="25"/>
      <c r="K34" s="25"/>
      <c r="L34" s="25"/>
      <c r="M34" s="25"/>
      <c r="N34" s="25"/>
      <c r="O34" s="25"/>
      <c r="P34" s="25"/>
      <c r="Q34" s="25"/>
      <c r="R34" s="25"/>
      <c r="S34" s="25"/>
      <c r="T34" s="25"/>
      <c r="U34" s="25"/>
      <c r="V34" s="25"/>
      <c r="W34" s="25"/>
      <c r="X34" s="25"/>
      <c r="Y34" s="25"/>
      <c r="Z34" s="25"/>
      <c r="AA34" s="25"/>
      <c r="AB34" s="25"/>
    </row>
    <row r="35" spans="3:28" x14ac:dyDescent="0.25">
      <c r="C35" s="34"/>
      <c r="D35" s="25"/>
      <c r="E35" s="25"/>
      <c r="F35" s="25"/>
      <c r="G35" s="25"/>
      <c r="H35" s="25"/>
      <c r="I35" s="25"/>
      <c r="J35" s="25"/>
      <c r="K35" s="25"/>
      <c r="L35" s="25"/>
      <c r="M35" s="25"/>
      <c r="N35" s="25"/>
      <c r="O35" s="25"/>
      <c r="P35" s="25"/>
      <c r="Q35" s="25"/>
      <c r="R35" s="25"/>
      <c r="S35" s="25"/>
      <c r="T35" s="25"/>
      <c r="U35" s="25"/>
      <c r="V35" s="25"/>
      <c r="W35" s="25"/>
      <c r="X35" s="25"/>
      <c r="Y35" s="25"/>
      <c r="Z35" s="25"/>
      <c r="AA35" s="25"/>
      <c r="AB35" s="25"/>
    </row>
    <row r="36" spans="3:28" x14ac:dyDescent="0.25">
      <c r="C36" s="34"/>
      <c r="D36" s="25"/>
      <c r="E36" s="25"/>
      <c r="F36" s="25"/>
      <c r="G36" s="25"/>
      <c r="H36" s="25"/>
      <c r="I36" s="25"/>
      <c r="J36" s="25"/>
      <c r="K36" s="25"/>
      <c r="L36" s="25"/>
      <c r="M36" s="25"/>
      <c r="N36" s="25"/>
      <c r="O36" s="25"/>
      <c r="P36" s="25"/>
      <c r="Q36" s="25"/>
      <c r="R36" s="25"/>
      <c r="S36" s="25"/>
      <c r="T36" s="25"/>
      <c r="U36" s="25"/>
      <c r="V36" s="25"/>
      <c r="W36" s="25"/>
      <c r="X36" s="25"/>
      <c r="Y36" s="25"/>
      <c r="Z36" s="25"/>
      <c r="AA36" s="25"/>
      <c r="AB36" s="25"/>
    </row>
    <row r="37" spans="3:28" x14ac:dyDescent="0.25">
      <c r="C37" s="34"/>
      <c r="D37" s="25"/>
      <c r="E37" s="25"/>
      <c r="F37" s="25"/>
      <c r="G37" s="25"/>
      <c r="H37" s="25"/>
      <c r="I37" s="25"/>
      <c r="J37" s="25"/>
      <c r="K37" s="25"/>
      <c r="L37" s="25"/>
      <c r="M37" s="25"/>
      <c r="N37" s="25"/>
      <c r="O37" s="25"/>
      <c r="P37" s="25"/>
      <c r="Q37" s="25"/>
      <c r="R37" s="25"/>
      <c r="S37" s="25"/>
      <c r="T37" s="25"/>
      <c r="U37" s="25"/>
      <c r="V37" s="25"/>
      <c r="W37" s="25"/>
      <c r="X37" s="25"/>
      <c r="Y37" s="25"/>
      <c r="Z37" s="25"/>
      <c r="AA37" s="25"/>
      <c r="AB37" s="25"/>
    </row>
    <row r="38" spans="3:28" x14ac:dyDescent="0.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row>
    <row r="39" spans="3:28" x14ac:dyDescent="0.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row>
    <row r="40" spans="3:28" x14ac:dyDescent="0.25">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row>
    <row r="41" spans="3:28" x14ac:dyDescent="0.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row>
    <row r="42" spans="3:28" x14ac:dyDescent="0.25">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row>
    <row r="43" spans="3:28" x14ac:dyDescent="0.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row>
    <row r="44" spans="3:28" x14ac:dyDescent="0.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row>
    <row r="45" spans="3:28" x14ac:dyDescent="0.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row>
    <row r="46" spans="3:28" x14ac:dyDescent="0.25">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row>
    <row r="47" spans="3:28" x14ac:dyDescent="0.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row>
    <row r="48" spans="3:28" x14ac:dyDescent="0.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row>
    <row r="49" spans="3:28" x14ac:dyDescent="0.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row>
    <row r="50" spans="3:28" x14ac:dyDescent="0.25">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row>
    <row r="51" spans="3:28" x14ac:dyDescent="0.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row>
    <row r="52" spans="3:28" x14ac:dyDescent="0.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row>
    <row r="53" spans="3:28" x14ac:dyDescent="0.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row>
    <row r="54" spans="3:28" x14ac:dyDescent="0.25">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row>
    <row r="55" spans="3:28" x14ac:dyDescent="0.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row>
    <row r="56" spans="3:28" x14ac:dyDescent="0.25">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row>
    <row r="57" spans="3:28" x14ac:dyDescent="0.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row>
    <row r="58" spans="3:28" x14ac:dyDescent="0.25">
      <c r="C58" s="25"/>
      <c r="D58" s="25"/>
      <c r="E58" s="25"/>
      <c r="F58" s="25"/>
      <c r="G58" s="25"/>
      <c r="H58" s="25"/>
      <c r="I58" s="25"/>
      <c r="J58" s="25"/>
      <c r="K58" s="25"/>
      <c r="L58" s="25"/>
      <c r="M58" s="25"/>
      <c r="N58" s="25"/>
      <c r="O58" s="25"/>
      <c r="P58" s="25"/>
      <c r="Q58" s="25"/>
      <c r="R58" s="25"/>
      <c r="S58" s="27"/>
      <c r="T58" s="27"/>
      <c r="U58" s="28"/>
      <c r="V58" s="28"/>
      <c r="W58" s="28"/>
      <c r="X58" s="28"/>
      <c r="Y58" s="28"/>
      <c r="Z58" s="25"/>
      <c r="AA58" s="25"/>
      <c r="AB58" s="25"/>
    </row>
    <row r="59" spans="3:28" x14ac:dyDescent="0.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row>
    <row r="60" spans="3:28" x14ac:dyDescent="0.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row>
    <row r="61" spans="3:28" x14ac:dyDescent="0.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row>
    <row r="62" spans="3:28" x14ac:dyDescent="0.25">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row>
    <row r="63" spans="3:28" x14ac:dyDescent="0.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row>
    <row r="64" spans="3:28" x14ac:dyDescent="0.25">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row>
    <row r="65" spans="3:28" x14ac:dyDescent="0.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row>
    <row r="66" spans="3:28" x14ac:dyDescent="0.25">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row>
    <row r="67" spans="3:28" x14ac:dyDescent="0.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row>
    <row r="68" spans="3:28" x14ac:dyDescent="0.25">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row>
    <row r="69" spans="3:28" x14ac:dyDescent="0.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row>
    <row r="70" spans="3:28" x14ac:dyDescent="0.25">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row>
    <row r="71" spans="3:28" x14ac:dyDescent="0.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row>
    <row r="72" spans="3:28" x14ac:dyDescent="0.25">
      <c r="C72" s="25"/>
      <c r="D72" s="25"/>
      <c r="E72" s="25"/>
      <c r="F72" s="25"/>
      <c r="G72" s="25"/>
      <c r="H72" s="25"/>
      <c r="I72" s="25"/>
      <c r="J72" s="25"/>
      <c r="K72" s="25"/>
      <c r="L72" s="25"/>
      <c r="M72" s="46" t="s">
        <v>711</v>
      </c>
      <c r="N72" s="46"/>
      <c r="O72" s="46"/>
      <c r="P72" s="46"/>
      <c r="Q72" s="46"/>
      <c r="R72" s="46"/>
      <c r="S72" s="46"/>
      <c r="T72" s="25"/>
      <c r="U72" s="25"/>
      <c r="V72" s="25"/>
      <c r="W72" s="25"/>
      <c r="X72" s="25"/>
      <c r="Y72" s="25"/>
      <c r="Z72" s="25"/>
      <c r="AA72" s="25"/>
      <c r="AB72" s="25"/>
    </row>
    <row r="73" spans="3:28" x14ac:dyDescent="0.25">
      <c r="C73" s="25"/>
      <c r="D73" s="25"/>
      <c r="E73" s="25"/>
      <c r="F73" s="25"/>
      <c r="G73" s="25"/>
      <c r="H73" s="25"/>
      <c r="I73" s="25"/>
      <c r="J73" s="25"/>
      <c r="K73" s="25"/>
      <c r="L73" s="25"/>
      <c r="M73" s="29"/>
      <c r="N73" s="29" t="s">
        <v>18</v>
      </c>
      <c r="O73" s="29"/>
      <c r="P73" s="29" t="s">
        <v>27</v>
      </c>
      <c r="Q73" s="29"/>
      <c r="R73" s="29" t="s">
        <v>14</v>
      </c>
      <c r="S73" s="29"/>
      <c r="T73" s="25"/>
      <c r="U73" s="25"/>
      <c r="V73" s="25"/>
      <c r="W73" s="25"/>
      <c r="X73" s="25"/>
      <c r="Y73" s="25"/>
      <c r="Z73" s="25"/>
      <c r="AA73" s="25"/>
      <c r="AB73" s="25"/>
    </row>
    <row r="74" spans="3:28" x14ac:dyDescent="0.25">
      <c r="C74" s="25"/>
      <c r="D74" s="25"/>
      <c r="E74" s="25"/>
      <c r="F74" s="25"/>
      <c r="G74" s="25"/>
      <c r="H74" s="25"/>
      <c r="I74" s="25"/>
      <c r="J74" s="25"/>
      <c r="K74" s="25"/>
      <c r="L74" s="25"/>
      <c r="M74" s="30" t="s">
        <v>4</v>
      </c>
      <c r="N74" s="30" t="s">
        <v>709</v>
      </c>
      <c r="O74" s="30" t="s">
        <v>710</v>
      </c>
      <c r="P74" s="30" t="s">
        <v>709</v>
      </c>
      <c r="Q74" s="30" t="s">
        <v>708</v>
      </c>
      <c r="R74" s="30" t="s">
        <v>707</v>
      </c>
      <c r="S74" s="30" t="s">
        <v>708</v>
      </c>
      <c r="T74" s="25"/>
      <c r="U74" s="25"/>
      <c r="V74" s="25"/>
      <c r="W74" s="25"/>
      <c r="X74" s="25"/>
      <c r="Y74" s="25"/>
      <c r="Z74" s="25"/>
      <c r="AA74" s="25"/>
      <c r="AB74" s="25"/>
    </row>
    <row r="75" spans="3:28" x14ac:dyDescent="0.25">
      <c r="C75" s="25"/>
      <c r="D75" s="25"/>
      <c r="E75" s="25"/>
      <c r="F75" s="25"/>
      <c r="G75" s="25"/>
      <c r="H75" s="25"/>
      <c r="I75" s="25"/>
      <c r="J75" s="25"/>
      <c r="K75" s="25"/>
      <c r="L75" s="25"/>
      <c r="M75" s="31" t="s">
        <v>13</v>
      </c>
      <c r="N75" s="32">
        <v>0.18181818181818182</v>
      </c>
      <c r="O75" s="32">
        <v>0.73394495412844041</v>
      </c>
      <c r="P75" s="32">
        <v>0.2413793103448276</v>
      </c>
      <c r="Q75" s="32">
        <v>0.86708860759493667</v>
      </c>
      <c r="R75" s="32">
        <v>0.25925925925925924</v>
      </c>
      <c r="S75" s="32">
        <v>0.77777777777777779</v>
      </c>
      <c r="T75" s="25"/>
      <c r="U75" s="25"/>
      <c r="V75" s="25"/>
      <c r="W75" s="25"/>
      <c r="X75" s="25"/>
      <c r="Y75" s="25"/>
      <c r="Z75" s="25"/>
      <c r="AA75" s="25"/>
      <c r="AB75" s="25"/>
    </row>
    <row r="76" spans="3:28" x14ac:dyDescent="0.25">
      <c r="C76" s="25"/>
      <c r="D76" s="25"/>
      <c r="E76" s="25"/>
      <c r="F76" s="25"/>
      <c r="G76" s="25"/>
      <c r="H76" s="25"/>
      <c r="I76" s="25"/>
      <c r="J76" s="25"/>
      <c r="K76" s="25"/>
      <c r="L76" s="25"/>
      <c r="M76" s="31" t="s">
        <v>22</v>
      </c>
      <c r="N76" s="32">
        <v>0.1</v>
      </c>
      <c r="O76" s="32">
        <v>0.65789473684210531</v>
      </c>
      <c r="P76" s="32">
        <v>0.33333333333333331</v>
      </c>
      <c r="Q76" s="32">
        <v>0.86486486486486491</v>
      </c>
      <c r="R76" s="32">
        <v>0.14285714285714285</v>
      </c>
      <c r="S76" s="32">
        <v>0.73076923076923073</v>
      </c>
      <c r="T76" s="25"/>
      <c r="U76" s="25"/>
      <c r="V76" s="25"/>
      <c r="W76" s="25"/>
      <c r="X76" s="25"/>
      <c r="Y76" s="25"/>
      <c r="Z76" s="25"/>
      <c r="AA76" s="25"/>
      <c r="AB76" s="25"/>
    </row>
    <row r="77" spans="3:28" x14ac:dyDescent="0.25">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row>
    <row r="78" spans="3:28" x14ac:dyDescent="0.25">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row>
    <row r="79" spans="3:28" x14ac:dyDescent="0.25">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row>
    <row r="80" spans="3:28" x14ac:dyDescent="0.25">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row>
    <row r="81" spans="3:28" x14ac:dyDescent="0.25">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row>
    <row r="82" spans="3:28" x14ac:dyDescent="0.25">
      <c r="C82" s="25"/>
      <c r="D82" s="25"/>
      <c r="E82" s="25"/>
      <c r="F82" s="25"/>
      <c r="G82" s="25"/>
      <c r="H82" s="25"/>
      <c r="I82" s="25"/>
      <c r="J82" s="25"/>
      <c r="K82" s="25"/>
      <c r="L82" s="25"/>
      <c r="M82" s="25"/>
      <c r="N82" s="25"/>
      <c r="O82" s="25"/>
      <c r="P82" s="25"/>
      <c r="Q82" s="25"/>
      <c r="R82" s="25"/>
      <c r="S82" s="25"/>
      <c r="T82" s="25"/>
      <c r="U82" s="25"/>
      <c r="V82" s="25"/>
      <c r="W82" s="25"/>
      <c r="X82" s="25"/>
      <c r="Y82" s="25"/>
      <c r="Z82" s="25"/>
      <c r="AA82" s="25"/>
      <c r="AB82" s="25"/>
    </row>
    <row r="83" spans="3:28" x14ac:dyDescent="0.25">
      <c r="C83" s="25"/>
      <c r="D83" s="25"/>
      <c r="E83" s="25"/>
      <c r="F83" s="25"/>
      <c r="G83" s="25"/>
      <c r="H83" s="25"/>
      <c r="I83" s="25"/>
      <c r="J83" s="25"/>
      <c r="K83" s="25"/>
      <c r="L83" s="25"/>
      <c r="M83" s="25"/>
      <c r="N83" s="25"/>
      <c r="O83" s="25"/>
      <c r="P83" s="25"/>
      <c r="Q83" s="25"/>
      <c r="R83" s="25"/>
      <c r="S83" s="25"/>
      <c r="T83" s="25"/>
      <c r="U83" s="25"/>
      <c r="V83" s="25"/>
      <c r="W83" s="25"/>
      <c r="X83" s="25"/>
      <c r="Y83" s="25"/>
      <c r="Z83" s="25"/>
      <c r="AA83" s="25"/>
      <c r="AB83" s="25"/>
    </row>
    <row r="84" spans="3:28" x14ac:dyDescent="0.25">
      <c r="C84" s="25"/>
      <c r="D84" s="25"/>
      <c r="E84" s="25"/>
      <c r="F84" s="25"/>
      <c r="G84" s="25"/>
      <c r="H84" s="25"/>
      <c r="I84" s="25"/>
      <c r="J84" s="25"/>
      <c r="K84" s="25"/>
      <c r="L84" s="25"/>
      <c r="M84" s="25"/>
      <c r="N84" s="25"/>
      <c r="O84" s="25"/>
      <c r="P84" s="25"/>
      <c r="Q84" s="25"/>
      <c r="R84" s="25"/>
      <c r="S84" s="25"/>
      <c r="T84" s="25"/>
      <c r="U84" s="25"/>
      <c r="V84" s="25"/>
      <c r="W84" s="25"/>
      <c r="X84" s="25"/>
      <c r="Y84" s="25"/>
      <c r="Z84" s="25"/>
      <c r="AA84" s="25"/>
      <c r="AB84" s="25"/>
    </row>
    <row r="85" spans="3:28" x14ac:dyDescent="0.25">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row>
    <row r="86" spans="3:28" x14ac:dyDescent="0.25">
      <c r="C86" s="25"/>
      <c r="D86" s="25"/>
      <c r="E86" s="25"/>
      <c r="F86" s="25"/>
      <c r="G86" s="25"/>
      <c r="H86" s="25"/>
      <c r="I86" s="25"/>
      <c r="J86" s="25"/>
      <c r="K86" s="25"/>
      <c r="L86" s="25"/>
      <c r="M86" s="25"/>
      <c r="N86" s="25"/>
      <c r="O86" s="25"/>
      <c r="P86" s="25"/>
      <c r="Q86" s="25"/>
      <c r="R86" s="25"/>
      <c r="S86" s="25"/>
      <c r="T86" s="25"/>
      <c r="U86" s="25"/>
      <c r="V86" s="25"/>
      <c r="W86" s="25"/>
      <c r="X86" s="25"/>
      <c r="Y86" s="25"/>
      <c r="Z86" s="25"/>
      <c r="AA86" s="25"/>
      <c r="AB86" s="25"/>
    </row>
    <row r="87" spans="3:28" x14ac:dyDescent="0.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row>
    <row r="88" spans="3:28" x14ac:dyDescent="0.25">
      <c r="C88" s="25"/>
      <c r="D88" s="25"/>
      <c r="E88" s="25"/>
      <c r="F88" s="25"/>
      <c r="G88" s="25"/>
      <c r="H88" s="25"/>
      <c r="I88" s="25"/>
      <c r="J88" s="25"/>
      <c r="K88" s="25"/>
      <c r="L88" s="25"/>
      <c r="M88" s="25"/>
      <c r="N88" s="25"/>
      <c r="O88" s="25"/>
      <c r="P88" s="25"/>
      <c r="Q88" s="25"/>
      <c r="R88" s="25"/>
      <c r="S88" s="25"/>
      <c r="T88" s="25"/>
      <c r="U88" s="25"/>
      <c r="V88" s="25"/>
      <c r="W88" s="25"/>
      <c r="X88" s="25"/>
      <c r="Y88" s="25"/>
      <c r="Z88" s="25"/>
      <c r="AA88" s="25"/>
      <c r="AB88" s="25"/>
    </row>
    <row r="89" spans="3:28" x14ac:dyDescent="0.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row>
    <row r="90" spans="3:28" x14ac:dyDescent="0.25">
      <c r="C90" s="25"/>
      <c r="D90" s="35" t="s">
        <v>714</v>
      </c>
      <c r="E90" s="35"/>
      <c r="F90" s="36" t="s">
        <v>713</v>
      </c>
      <c r="G90" s="36"/>
      <c r="H90" s="35" t="s">
        <v>715</v>
      </c>
      <c r="I90" s="35"/>
      <c r="J90" s="35"/>
      <c r="K90" s="35"/>
      <c r="L90" s="35"/>
      <c r="M90" s="35"/>
      <c r="N90" s="25"/>
      <c r="O90" s="25"/>
      <c r="P90" s="25"/>
      <c r="Q90" s="25"/>
      <c r="R90" s="25"/>
      <c r="S90" s="25"/>
      <c r="T90" s="25"/>
      <c r="U90" s="25"/>
      <c r="V90" s="25"/>
      <c r="W90" s="25"/>
      <c r="X90" s="25"/>
      <c r="Y90" s="25"/>
      <c r="Z90" s="25"/>
      <c r="AA90" s="25"/>
      <c r="AB90" s="25"/>
    </row>
    <row r="91" spans="3:28" x14ac:dyDescent="0.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row>
    <row r="92" spans="3:28" x14ac:dyDescent="0.25">
      <c r="C92" s="25"/>
      <c r="D92" s="25"/>
      <c r="E92" s="25"/>
      <c r="F92" s="25"/>
      <c r="G92" s="25"/>
      <c r="H92" s="25"/>
      <c r="I92" s="25"/>
      <c r="J92" s="25"/>
      <c r="K92" s="25"/>
      <c r="L92" s="25"/>
      <c r="M92" s="25"/>
      <c r="N92" s="25"/>
      <c r="O92" s="25"/>
      <c r="P92" s="25"/>
      <c r="Q92" s="25"/>
      <c r="R92" s="25"/>
      <c r="S92" s="25"/>
      <c r="T92" s="25"/>
      <c r="U92" s="25"/>
      <c r="V92" s="25"/>
      <c r="W92" s="25"/>
      <c r="X92" s="25"/>
      <c r="Y92" s="25"/>
      <c r="Z92" s="25"/>
      <c r="AA92" s="25"/>
      <c r="AB92" s="25"/>
    </row>
    <row r="93" spans="3:28" x14ac:dyDescent="0.25">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row>
    <row r="94" spans="3:28" x14ac:dyDescent="0.25">
      <c r="C94" s="25"/>
      <c r="D94" s="25"/>
      <c r="E94" s="25"/>
      <c r="F94" s="25"/>
      <c r="G94" s="25"/>
      <c r="H94" s="25"/>
      <c r="I94" s="25"/>
      <c r="J94" s="25"/>
      <c r="K94" s="25"/>
      <c r="L94" s="25"/>
      <c r="M94" s="25"/>
      <c r="N94" s="25"/>
      <c r="O94" s="25"/>
      <c r="P94" s="25"/>
      <c r="Q94" s="25"/>
      <c r="R94" s="25"/>
      <c r="S94" s="25"/>
      <c r="T94" s="25"/>
      <c r="U94" s="25"/>
      <c r="V94" s="25"/>
      <c r="W94" s="25"/>
      <c r="X94" s="25"/>
      <c r="Y94" s="25"/>
      <c r="Z94" s="25"/>
      <c r="AA94" s="25"/>
      <c r="AB94" s="25"/>
    </row>
    <row r="95" spans="3:28" x14ac:dyDescent="0.25">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row>
    <row r="96" spans="3:28" x14ac:dyDescent="0.25">
      <c r="C96" s="25"/>
      <c r="D96" s="25"/>
      <c r="E96" s="25"/>
      <c r="F96" s="25"/>
      <c r="G96" s="25"/>
      <c r="H96" s="25"/>
      <c r="I96" s="25"/>
      <c r="J96" s="25"/>
      <c r="K96" s="25"/>
      <c r="L96" s="25"/>
      <c r="M96" s="25"/>
      <c r="N96" s="25"/>
      <c r="O96" s="25"/>
      <c r="P96" s="25"/>
      <c r="Q96" s="25"/>
      <c r="R96" s="25"/>
      <c r="S96" s="25"/>
      <c r="T96" s="25"/>
      <c r="U96" s="25"/>
      <c r="V96" s="25"/>
      <c r="W96" s="25"/>
      <c r="X96" s="25"/>
      <c r="Y96" s="25"/>
      <c r="Z96" s="25"/>
      <c r="AA96" s="25"/>
      <c r="AB96" s="25"/>
    </row>
    <row r="97" spans="3:28" x14ac:dyDescent="0.25">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row>
    <row r="98" spans="3:28" x14ac:dyDescent="0.25">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row>
    <row r="99" spans="3:28" x14ac:dyDescent="0.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row>
    <row r="100" spans="3:28" x14ac:dyDescent="0.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row>
    <row r="101" spans="3:28" x14ac:dyDescent="0.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row>
    <row r="102" spans="3:28" x14ac:dyDescent="0.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row>
    <row r="103" spans="3:28" x14ac:dyDescent="0.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row>
    <row r="104" spans="3:28" x14ac:dyDescent="0.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row>
    <row r="105" spans="3:28" x14ac:dyDescent="0.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row>
    <row r="106" spans="3:28" x14ac:dyDescent="0.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row>
    <row r="107" spans="3:28" x14ac:dyDescent="0.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row>
    <row r="108" spans="3:28" x14ac:dyDescent="0.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row>
    <row r="109" spans="3:28" x14ac:dyDescent="0.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row>
    <row r="110" spans="3:28" x14ac:dyDescent="0.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row>
    <row r="111" spans="3:28" x14ac:dyDescent="0.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row>
    <row r="112" spans="3:28" x14ac:dyDescent="0.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row>
    <row r="113" spans="3:28" x14ac:dyDescent="0.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row>
    <row r="114" spans="3:28" x14ac:dyDescent="0.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row>
    <row r="115" spans="3:28" x14ac:dyDescent="0.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row>
    <row r="116" spans="3:28" x14ac:dyDescent="0.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row>
    <row r="117" spans="3:28" x14ac:dyDescent="0.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row>
    <row r="118" spans="3:28" x14ac:dyDescent="0.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row>
    <row r="119" spans="3:28" x14ac:dyDescent="0.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row>
    <row r="120" spans="3:28" x14ac:dyDescent="0.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row>
    <row r="121" spans="3:28" x14ac:dyDescent="0.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row>
    <row r="122" spans="3:28" x14ac:dyDescent="0.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row>
    <row r="123" spans="3:28" x14ac:dyDescent="0.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row>
    <row r="124" spans="3:28" x14ac:dyDescent="0.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row>
    <row r="125" spans="3:28" x14ac:dyDescent="0.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row>
    <row r="126" spans="3:28" x14ac:dyDescent="0.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row>
    <row r="127" spans="3:28" x14ac:dyDescent="0.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row>
    <row r="128" spans="3:28" x14ac:dyDescent="0.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row>
    <row r="129" spans="3:28" x14ac:dyDescent="0.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row>
    <row r="130" spans="3:28" x14ac:dyDescent="0.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row>
    <row r="131" spans="3:28" x14ac:dyDescent="0.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row>
    <row r="132" spans="3:28" x14ac:dyDescent="0.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row>
    <row r="133" spans="3:28" x14ac:dyDescent="0.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row>
    <row r="134" spans="3:28" x14ac:dyDescent="0.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row>
    <row r="135" spans="3:28" x14ac:dyDescent="0.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row>
    <row r="136" spans="3:28" x14ac:dyDescent="0.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row>
    <row r="137" spans="3:28" x14ac:dyDescent="0.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row>
    <row r="138" spans="3:28" x14ac:dyDescent="0.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row>
    <row r="139" spans="3:28" x14ac:dyDescent="0.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row>
    <row r="140" spans="3:28" x14ac:dyDescent="0.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row>
    <row r="141" spans="3:28" x14ac:dyDescent="0.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row>
    <row r="142" spans="3:28" x14ac:dyDescent="0.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row>
    <row r="143" spans="3:28" x14ac:dyDescent="0.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row>
    <row r="144" spans="3:28" x14ac:dyDescent="0.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row>
    <row r="145" spans="3:28" x14ac:dyDescent="0.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row>
    <row r="146" spans="3:28" x14ac:dyDescent="0.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row>
    <row r="147" spans="3:28" x14ac:dyDescent="0.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row>
    <row r="148" spans="3:28" x14ac:dyDescent="0.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row>
    <row r="149" spans="3:28" x14ac:dyDescent="0.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row>
    <row r="150" spans="3:28" x14ac:dyDescent="0.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row>
    <row r="151" spans="3:28" x14ac:dyDescent="0.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row>
    <row r="152" spans="3:28" x14ac:dyDescent="0.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row>
    <row r="153" spans="3:28" x14ac:dyDescent="0.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row>
    <row r="154" spans="3:28" x14ac:dyDescent="0.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row>
    <row r="155" spans="3:28" x14ac:dyDescent="0.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row>
    <row r="156" spans="3:28" x14ac:dyDescent="0.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row>
    <row r="157" spans="3:28" x14ac:dyDescent="0.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row>
    <row r="158" spans="3:28" x14ac:dyDescent="0.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row>
    <row r="159" spans="3:28" x14ac:dyDescent="0.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row>
    <row r="160" spans="3:28" x14ac:dyDescent="0.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row>
    <row r="161" spans="3:28" x14ac:dyDescent="0.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row>
    <row r="162" spans="3:28" x14ac:dyDescent="0.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row>
    <row r="163" spans="3:28" x14ac:dyDescent="0.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row>
    <row r="164" spans="3:28" x14ac:dyDescent="0.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row>
    <row r="165" spans="3:28" x14ac:dyDescent="0.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row>
    <row r="166" spans="3:28" x14ac:dyDescent="0.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row>
    <row r="167" spans="3:28" x14ac:dyDescent="0.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row>
    <row r="168" spans="3:28" x14ac:dyDescent="0.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row>
    <row r="169" spans="3:28" x14ac:dyDescent="0.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row>
    <row r="170" spans="3:28" x14ac:dyDescent="0.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row>
    <row r="171" spans="3:28" x14ac:dyDescent="0.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row>
    <row r="172" spans="3:28" x14ac:dyDescent="0.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row>
    <row r="173" spans="3:28" x14ac:dyDescent="0.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row>
    <row r="174" spans="3:28" x14ac:dyDescent="0.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row>
    <row r="175" spans="3:28" x14ac:dyDescent="0.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row>
    <row r="176" spans="3:28" x14ac:dyDescent="0.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row>
    <row r="177" spans="3:28" x14ac:dyDescent="0.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row>
    <row r="178" spans="3:28" x14ac:dyDescent="0.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row>
    <row r="179" spans="3:28" x14ac:dyDescent="0.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row>
    <row r="180" spans="3:28" x14ac:dyDescent="0.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row>
    <row r="181" spans="3:28" x14ac:dyDescent="0.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row>
    <row r="182" spans="3:28" x14ac:dyDescent="0.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row>
    <row r="183" spans="3:28" x14ac:dyDescent="0.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row>
    <row r="184" spans="3:28" x14ac:dyDescent="0.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row>
    <row r="185" spans="3:28" x14ac:dyDescent="0.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row>
    <row r="186" spans="3:28" x14ac:dyDescent="0.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row>
    <row r="187" spans="3:28" x14ac:dyDescent="0.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row>
    <row r="188" spans="3:28" x14ac:dyDescent="0.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row>
    <row r="189" spans="3:28" x14ac:dyDescent="0.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row>
    <row r="190" spans="3:28" x14ac:dyDescent="0.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row>
    <row r="191" spans="3:28" x14ac:dyDescent="0.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row>
    <row r="192" spans="3:28" x14ac:dyDescent="0.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row>
    <row r="193" spans="3:28" x14ac:dyDescent="0.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row>
    <row r="194" spans="3:28" x14ac:dyDescent="0.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row>
    <row r="195" spans="3:28" x14ac:dyDescent="0.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row>
    <row r="196" spans="3:28" x14ac:dyDescent="0.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row>
    <row r="197" spans="3:28" x14ac:dyDescent="0.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row>
    <row r="198" spans="3:28" x14ac:dyDescent="0.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row>
    <row r="199" spans="3:28" x14ac:dyDescent="0.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row>
    <row r="200" spans="3:28" x14ac:dyDescent="0.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row>
    <row r="201" spans="3:28" x14ac:dyDescent="0.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row>
    <row r="202" spans="3:28" x14ac:dyDescent="0.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row>
    <row r="203" spans="3:28" x14ac:dyDescent="0.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row>
    <row r="204" spans="3:28" x14ac:dyDescent="0.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row>
    <row r="205" spans="3:28" x14ac:dyDescent="0.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row>
    <row r="206" spans="3:28" x14ac:dyDescent="0.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row>
  </sheetData>
  <mergeCells count="45">
    <mergeCell ref="A1:N2"/>
    <mergeCell ref="D4:F4"/>
    <mergeCell ref="D5:F5"/>
    <mergeCell ref="D6:F6"/>
    <mergeCell ref="D7:F7"/>
    <mergeCell ref="A3:B3"/>
    <mergeCell ref="D3:F3"/>
    <mergeCell ref="T4:V4"/>
    <mergeCell ref="T5:V5"/>
    <mergeCell ref="T6:V6"/>
    <mergeCell ref="T7:V7"/>
    <mergeCell ref="H4:J4"/>
    <mergeCell ref="H5:J5"/>
    <mergeCell ref="H6:J6"/>
    <mergeCell ref="H7:J7"/>
    <mergeCell ref="L4:N4"/>
    <mergeCell ref="L5:N5"/>
    <mergeCell ref="L6:N6"/>
    <mergeCell ref="L7:N7"/>
    <mergeCell ref="P4:R4"/>
    <mergeCell ref="P5:R5"/>
    <mergeCell ref="P6:R6"/>
    <mergeCell ref="P7:R7"/>
    <mergeCell ref="D11:F11"/>
    <mergeCell ref="A4:B4"/>
    <mergeCell ref="A10:B10"/>
    <mergeCell ref="A5:B5"/>
    <mergeCell ref="A6:B6"/>
    <mergeCell ref="A7:B7"/>
    <mergeCell ref="A11:B11"/>
    <mergeCell ref="A8:B8"/>
    <mergeCell ref="A9:B9"/>
    <mergeCell ref="D9:V9"/>
    <mergeCell ref="D90:E90"/>
    <mergeCell ref="F90:G90"/>
    <mergeCell ref="H90:M90"/>
    <mergeCell ref="A18:B18"/>
    <mergeCell ref="A19:B19"/>
    <mergeCell ref="A20:B20"/>
    <mergeCell ref="A21:B21"/>
    <mergeCell ref="A22:B22"/>
    <mergeCell ref="M72:S72"/>
    <mergeCell ref="A13:B13"/>
    <mergeCell ref="A15:B15"/>
    <mergeCell ref="A17:B17"/>
  </mergeCells>
  <conditionalFormatting sqref="N75:S76">
    <cfRule type="colorScale" priority="1">
      <colorScale>
        <cfvo type="min"/>
        <cfvo type="percentile" val="50"/>
        <cfvo type="max"/>
        <color rgb="FFF8696B"/>
        <color rgb="FFFFEB84"/>
        <color rgb="FF63BE7B"/>
      </colorScale>
    </cfRule>
  </conditionalFormatting>
  <hyperlinks>
    <hyperlink ref="F90:G90" r:id="rId1" display="Eveline Wasonga | " xr:uid="{57C3EDDC-08AD-4DE1-9052-9387B689F5A0}"/>
  </hyperlink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615"/>
  <sheetViews>
    <sheetView topLeftCell="A2" workbookViewId="0">
      <selection activeCell="H31" sqref="H31"/>
    </sheetView>
  </sheetViews>
  <sheetFormatPr defaultRowHeight="13.8" x14ac:dyDescent="0.25"/>
  <cols>
    <col min="1" max="1" width="10.8984375" customWidth="1"/>
    <col min="2" max="2" width="9.796875" customWidth="1"/>
    <col min="3" max="3" width="10.296875" customWidth="1"/>
    <col min="4" max="4" width="13.8984375" customWidth="1"/>
    <col min="5" max="5" width="14.796875" customWidth="1"/>
    <col min="6" max="6" width="16.3984375" customWidth="1"/>
    <col min="7" max="7" width="18.5" style="3" customWidth="1"/>
    <col min="8" max="8" width="21.296875" style="3" customWidth="1"/>
    <col min="9" max="9" width="14.796875" style="3" customWidth="1"/>
    <col min="10" max="10" width="20.8984375" customWidth="1"/>
    <col min="11" max="11" width="15.796875" customWidth="1"/>
    <col min="12" max="12" width="15.8984375" customWidth="1"/>
    <col min="13" max="13" width="13.59765625" customWidth="1"/>
    <col min="14" max="15" width="14.5" customWidth="1"/>
    <col min="16" max="16" width="21.5" customWidth="1"/>
    <col min="17" max="17" width="19.59765625" customWidth="1"/>
    <col min="18" max="18" width="15" customWidth="1"/>
    <col min="19" max="19" width="12.296875" customWidth="1"/>
  </cols>
  <sheetData>
    <row r="1" spans="1:19" x14ac:dyDescent="0.25">
      <c r="A1" t="s">
        <v>0</v>
      </c>
      <c r="B1" t="s">
        <v>1</v>
      </c>
      <c r="C1" t="s">
        <v>2</v>
      </c>
      <c r="D1" t="s">
        <v>3</v>
      </c>
      <c r="E1" t="s">
        <v>4</v>
      </c>
      <c r="F1" t="s">
        <v>5</v>
      </c>
      <c r="G1" s="3" t="s">
        <v>635</v>
      </c>
      <c r="H1" s="3" t="s">
        <v>636</v>
      </c>
      <c r="I1" s="3" t="s">
        <v>637</v>
      </c>
      <c r="J1" t="s">
        <v>6</v>
      </c>
      <c r="K1" t="s">
        <v>7</v>
      </c>
      <c r="L1" t="s">
        <v>8</v>
      </c>
      <c r="M1" t="s">
        <v>9</v>
      </c>
      <c r="N1" t="s">
        <v>638</v>
      </c>
      <c r="O1" t="s">
        <v>639</v>
      </c>
      <c r="P1" t="s">
        <v>641</v>
      </c>
      <c r="Q1" t="s">
        <v>640</v>
      </c>
      <c r="R1" t="s">
        <v>642</v>
      </c>
      <c r="S1" t="s">
        <v>643</v>
      </c>
    </row>
    <row r="2" spans="1:19" x14ac:dyDescent="0.25">
      <c r="A2" t="s">
        <v>10</v>
      </c>
      <c r="B2" t="s">
        <v>11</v>
      </c>
      <c r="C2" t="s">
        <v>12</v>
      </c>
      <c r="D2">
        <v>0</v>
      </c>
      <c r="E2" t="s">
        <v>13</v>
      </c>
      <c r="F2" t="s">
        <v>12</v>
      </c>
      <c r="G2" s="3">
        <v>5849</v>
      </c>
      <c r="H2" s="3">
        <v>0</v>
      </c>
      <c r="I2" s="3">
        <v>0</v>
      </c>
      <c r="J2">
        <v>360</v>
      </c>
      <c r="K2">
        <v>1</v>
      </c>
      <c r="L2" t="s">
        <v>14</v>
      </c>
      <c r="M2" t="s">
        <v>15</v>
      </c>
      <c r="N2">
        <f>G2+H2</f>
        <v>5849</v>
      </c>
      <c r="O2" t="str">
        <f>IF(N2&lt;4000,"Low", IF(N2&lt;8000, "Medium", "High"))</f>
        <v>Medium</v>
      </c>
      <c r="P2" s="4">
        <f>I2/N2</f>
        <v>0</v>
      </c>
      <c r="Q2" t="str">
        <f>IF(I2&lt;100, "Small", IF(I2&lt;200, "Medium", "Large"))</f>
        <v>Small</v>
      </c>
      <c r="R2" s="19">
        <f>IF(M2="Y", 1*1, 1*0)</f>
        <v>1</v>
      </c>
      <c r="S2" t="str">
        <f>IF(L2="Urban","1", IF(L2="Rural", "2", IF(L2="Semiurban","3")))</f>
        <v>1</v>
      </c>
    </row>
    <row r="3" spans="1:19" x14ac:dyDescent="0.25">
      <c r="A3" t="s">
        <v>16</v>
      </c>
      <c r="B3" t="s">
        <v>11</v>
      </c>
      <c r="C3" t="s">
        <v>17</v>
      </c>
      <c r="D3">
        <v>1</v>
      </c>
      <c r="E3" t="s">
        <v>13</v>
      </c>
      <c r="F3" t="s">
        <v>12</v>
      </c>
      <c r="G3" s="3">
        <v>4583</v>
      </c>
      <c r="H3" s="3">
        <v>1508</v>
      </c>
      <c r="I3" s="3">
        <v>128</v>
      </c>
      <c r="J3">
        <v>360</v>
      </c>
      <c r="K3">
        <v>1</v>
      </c>
      <c r="L3" t="s">
        <v>18</v>
      </c>
      <c r="M3" t="s">
        <v>19</v>
      </c>
      <c r="N3">
        <f t="shared" ref="N3:N66" si="0">G3+H3</f>
        <v>6091</v>
      </c>
      <c r="O3" t="str">
        <f t="shared" ref="O3:O66" si="1">IF(N3&lt;4000,"Low", IF(N3&lt;8000, "Medium", "High"))</f>
        <v>Medium</v>
      </c>
      <c r="P3" s="4">
        <f t="shared" ref="P3:P66" si="2">I3/N3</f>
        <v>2.1014611722213101E-2</v>
      </c>
      <c r="Q3" t="str">
        <f t="shared" ref="Q3:Q66" si="3">IF(I3&lt;100, "Small", IF(I3&lt;200, "Medium", "Large"))</f>
        <v>Medium</v>
      </c>
      <c r="R3" s="19">
        <f t="shared" ref="R3:R66" si="4">IF(M3="Y", 1*1, 1*0)</f>
        <v>0</v>
      </c>
      <c r="S3" t="str">
        <f t="shared" ref="S3:S66" si="5">IF(L3="Urban","1", IF(L3="Rural", "2", IF(L3="Semiurban","3")))</f>
        <v>2</v>
      </c>
    </row>
    <row r="4" spans="1:19" x14ac:dyDescent="0.25">
      <c r="A4" t="s">
        <v>20</v>
      </c>
      <c r="B4" t="s">
        <v>11</v>
      </c>
      <c r="C4" t="s">
        <v>17</v>
      </c>
      <c r="D4">
        <v>0</v>
      </c>
      <c r="E4" t="s">
        <v>13</v>
      </c>
      <c r="F4" t="s">
        <v>17</v>
      </c>
      <c r="G4" s="3">
        <v>3000</v>
      </c>
      <c r="H4" s="3">
        <v>0</v>
      </c>
      <c r="I4" s="3">
        <v>66</v>
      </c>
      <c r="J4">
        <v>360</v>
      </c>
      <c r="K4">
        <v>1</v>
      </c>
      <c r="L4" t="s">
        <v>14</v>
      </c>
      <c r="M4" t="s">
        <v>15</v>
      </c>
      <c r="N4">
        <f t="shared" si="0"/>
        <v>3000</v>
      </c>
      <c r="O4" t="str">
        <f t="shared" si="1"/>
        <v>Low</v>
      </c>
      <c r="P4" s="4">
        <f t="shared" si="2"/>
        <v>2.1999999999999999E-2</v>
      </c>
      <c r="Q4" t="str">
        <f t="shared" si="3"/>
        <v>Small</v>
      </c>
      <c r="R4" s="19">
        <f t="shared" si="4"/>
        <v>1</v>
      </c>
      <c r="S4" t="str">
        <f t="shared" si="5"/>
        <v>1</v>
      </c>
    </row>
    <row r="5" spans="1:19" x14ac:dyDescent="0.25">
      <c r="A5" t="s">
        <v>21</v>
      </c>
      <c r="B5" t="s">
        <v>11</v>
      </c>
      <c r="C5" t="s">
        <v>17</v>
      </c>
      <c r="D5">
        <v>0</v>
      </c>
      <c r="E5" t="s">
        <v>22</v>
      </c>
      <c r="F5" t="s">
        <v>12</v>
      </c>
      <c r="G5" s="3">
        <v>2583</v>
      </c>
      <c r="H5" s="3">
        <v>2358</v>
      </c>
      <c r="I5" s="3">
        <v>120</v>
      </c>
      <c r="J5">
        <v>360</v>
      </c>
      <c r="K5">
        <v>1</v>
      </c>
      <c r="L5" t="s">
        <v>14</v>
      </c>
      <c r="M5" t="s">
        <v>15</v>
      </c>
      <c r="N5">
        <f t="shared" si="0"/>
        <v>4941</v>
      </c>
      <c r="O5" t="str">
        <f t="shared" si="1"/>
        <v>Medium</v>
      </c>
      <c r="P5" s="4">
        <f t="shared" si="2"/>
        <v>2.4286581663630843E-2</v>
      </c>
      <c r="Q5" t="str">
        <f t="shared" si="3"/>
        <v>Medium</v>
      </c>
      <c r="R5" s="19">
        <f t="shared" si="4"/>
        <v>1</v>
      </c>
      <c r="S5" t="str">
        <f t="shared" si="5"/>
        <v>1</v>
      </c>
    </row>
    <row r="6" spans="1:19" x14ac:dyDescent="0.25">
      <c r="A6" t="s">
        <v>23</v>
      </c>
      <c r="B6" t="s">
        <v>11</v>
      </c>
      <c r="C6" t="s">
        <v>12</v>
      </c>
      <c r="D6">
        <v>0</v>
      </c>
      <c r="E6" t="s">
        <v>13</v>
      </c>
      <c r="F6" t="s">
        <v>12</v>
      </c>
      <c r="G6" s="3">
        <v>6000</v>
      </c>
      <c r="H6" s="3">
        <v>0</v>
      </c>
      <c r="I6" s="3">
        <v>141</v>
      </c>
      <c r="J6">
        <v>360</v>
      </c>
      <c r="K6">
        <v>1</v>
      </c>
      <c r="L6" t="s">
        <v>14</v>
      </c>
      <c r="M6" t="s">
        <v>15</v>
      </c>
      <c r="N6">
        <f t="shared" si="0"/>
        <v>6000</v>
      </c>
      <c r="O6" t="str">
        <f t="shared" si="1"/>
        <v>Medium</v>
      </c>
      <c r="P6" s="4">
        <f t="shared" si="2"/>
        <v>2.35E-2</v>
      </c>
      <c r="Q6" t="str">
        <f t="shared" si="3"/>
        <v>Medium</v>
      </c>
      <c r="R6" s="19">
        <f t="shared" si="4"/>
        <v>1</v>
      </c>
      <c r="S6" t="str">
        <f t="shared" si="5"/>
        <v>1</v>
      </c>
    </row>
    <row r="7" spans="1:19" x14ac:dyDescent="0.25">
      <c r="A7" t="s">
        <v>24</v>
      </c>
      <c r="B7" t="s">
        <v>11</v>
      </c>
      <c r="C7" t="s">
        <v>17</v>
      </c>
      <c r="D7">
        <v>2</v>
      </c>
      <c r="E7" t="s">
        <v>13</v>
      </c>
      <c r="F7" t="s">
        <v>17</v>
      </c>
      <c r="G7" s="3">
        <v>5417</v>
      </c>
      <c r="H7" s="3">
        <v>4196</v>
      </c>
      <c r="I7" s="3">
        <v>267</v>
      </c>
      <c r="J7">
        <v>360</v>
      </c>
      <c r="K7">
        <v>1</v>
      </c>
      <c r="L7" t="s">
        <v>14</v>
      </c>
      <c r="M7" t="s">
        <v>15</v>
      </c>
      <c r="N7">
        <f t="shared" si="0"/>
        <v>9613</v>
      </c>
      <c r="O7" t="str">
        <f t="shared" si="1"/>
        <v>High</v>
      </c>
      <c r="P7" s="4">
        <f t="shared" si="2"/>
        <v>2.7774888172266723E-2</v>
      </c>
      <c r="Q7" t="str">
        <f t="shared" si="3"/>
        <v>Large</v>
      </c>
      <c r="R7" s="19">
        <f t="shared" si="4"/>
        <v>1</v>
      </c>
      <c r="S7" t="str">
        <f t="shared" si="5"/>
        <v>1</v>
      </c>
    </row>
    <row r="8" spans="1:19" x14ac:dyDescent="0.25">
      <c r="A8" t="s">
        <v>25</v>
      </c>
      <c r="B8" t="s">
        <v>11</v>
      </c>
      <c r="C8" t="s">
        <v>17</v>
      </c>
      <c r="D8">
        <v>0</v>
      </c>
      <c r="E8" t="s">
        <v>22</v>
      </c>
      <c r="F8" t="s">
        <v>12</v>
      </c>
      <c r="G8" s="3">
        <v>2333</v>
      </c>
      <c r="H8" s="3">
        <v>1516</v>
      </c>
      <c r="I8" s="3">
        <v>95</v>
      </c>
      <c r="J8">
        <v>360</v>
      </c>
      <c r="K8">
        <v>1</v>
      </c>
      <c r="L8" t="s">
        <v>14</v>
      </c>
      <c r="M8" t="s">
        <v>15</v>
      </c>
      <c r="N8">
        <f t="shared" si="0"/>
        <v>3849</v>
      </c>
      <c r="O8" t="str">
        <f t="shared" si="1"/>
        <v>Low</v>
      </c>
      <c r="P8" s="4">
        <f t="shared" si="2"/>
        <v>2.4681735515718367E-2</v>
      </c>
      <c r="Q8" t="str">
        <f t="shared" si="3"/>
        <v>Small</v>
      </c>
      <c r="R8" s="19">
        <f t="shared" si="4"/>
        <v>1</v>
      </c>
      <c r="S8" t="str">
        <f t="shared" si="5"/>
        <v>1</v>
      </c>
    </row>
    <row r="9" spans="1:19" x14ac:dyDescent="0.25">
      <c r="A9" t="s">
        <v>26</v>
      </c>
      <c r="B9" t="s">
        <v>11</v>
      </c>
      <c r="C9" t="s">
        <v>17</v>
      </c>
      <c r="D9">
        <v>3</v>
      </c>
      <c r="E9" t="s">
        <v>13</v>
      </c>
      <c r="F9" t="s">
        <v>12</v>
      </c>
      <c r="G9" s="3">
        <v>3036</v>
      </c>
      <c r="H9" s="3">
        <v>2504</v>
      </c>
      <c r="I9" s="3">
        <v>158</v>
      </c>
      <c r="J9">
        <v>360</v>
      </c>
      <c r="K9">
        <v>0</v>
      </c>
      <c r="L9" t="s">
        <v>27</v>
      </c>
      <c r="M9" t="s">
        <v>19</v>
      </c>
      <c r="N9">
        <f t="shared" si="0"/>
        <v>5540</v>
      </c>
      <c r="O9" t="str">
        <f t="shared" si="1"/>
        <v>Medium</v>
      </c>
      <c r="P9" s="4">
        <f t="shared" si="2"/>
        <v>2.8519855595667869E-2</v>
      </c>
      <c r="Q9" t="str">
        <f t="shared" si="3"/>
        <v>Medium</v>
      </c>
      <c r="R9" s="19">
        <f t="shared" si="4"/>
        <v>0</v>
      </c>
      <c r="S9" t="str">
        <f t="shared" si="5"/>
        <v>3</v>
      </c>
    </row>
    <row r="10" spans="1:19" x14ac:dyDescent="0.25">
      <c r="A10" t="s">
        <v>28</v>
      </c>
      <c r="B10" t="s">
        <v>11</v>
      </c>
      <c r="C10" t="s">
        <v>17</v>
      </c>
      <c r="D10">
        <v>2</v>
      </c>
      <c r="E10" t="s">
        <v>13</v>
      </c>
      <c r="F10" t="s">
        <v>12</v>
      </c>
      <c r="G10" s="3">
        <v>4006</v>
      </c>
      <c r="H10" s="3">
        <v>1526</v>
      </c>
      <c r="I10" s="3">
        <v>168</v>
      </c>
      <c r="J10">
        <v>360</v>
      </c>
      <c r="K10">
        <v>1</v>
      </c>
      <c r="L10" t="s">
        <v>14</v>
      </c>
      <c r="M10" t="s">
        <v>15</v>
      </c>
      <c r="N10">
        <f t="shared" si="0"/>
        <v>5532</v>
      </c>
      <c r="O10" t="str">
        <f t="shared" si="1"/>
        <v>Medium</v>
      </c>
      <c r="P10" s="4">
        <f t="shared" si="2"/>
        <v>3.0368763557483729E-2</v>
      </c>
      <c r="Q10" t="str">
        <f t="shared" si="3"/>
        <v>Medium</v>
      </c>
      <c r="R10" s="19">
        <f t="shared" si="4"/>
        <v>1</v>
      </c>
      <c r="S10" t="str">
        <f t="shared" si="5"/>
        <v>1</v>
      </c>
    </row>
    <row r="11" spans="1:19" x14ac:dyDescent="0.25">
      <c r="A11" t="s">
        <v>29</v>
      </c>
      <c r="B11" t="s">
        <v>11</v>
      </c>
      <c r="C11" t="s">
        <v>17</v>
      </c>
      <c r="D11">
        <v>1</v>
      </c>
      <c r="E11" t="s">
        <v>13</v>
      </c>
      <c r="F11" t="s">
        <v>12</v>
      </c>
      <c r="G11" s="3">
        <v>12841</v>
      </c>
      <c r="H11" s="3">
        <v>10968</v>
      </c>
      <c r="I11" s="3">
        <v>349</v>
      </c>
      <c r="J11">
        <v>360</v>
      </c>
      <c r="K11">
        <v>1</v>
      </c>
      <c r="L11" t="s">
        <v>27</v>
      </c>
      <c r="M11" t="s">
        <v>19</v>
      </c>
      <c r="N11">
        <f t="shared" si="0"/>
        <v>23809</v>
      </c>
      <c r="O11" t="str">
        <f t="shared" si="1"/>
        <v>High</v>
      </c>
      <c r="P11" s="4">
        <f t="shared" si="2"/>
        <v>1.4658322483094628E-2</v>
      </c>
      <c r="Q11" t="str">
        <f t="shared" si="3"/>
        <v>Large</v>
      </c>
      <c r="R11" s="19">
        <f t="shared" si="4"/>
        <v>0</v>
      </c>
      <c r="S11" t="str">
        <f t="shared" si="5"/>
        <v>3</v>
      </c>
    </row>
    <row r="12" spans="1:19" x14ac:dyDescent="0.25">
      <c r="A12" t="s">
        <v>30</v>
      </c>
      <c r="B12" t="s">
        <v>11</v>
      </c>
      <c r="C12" t="s">
        <v>17</v>
      </c>
      <c r="D12">
        <v>2</v>
      </c>
      <c r="E12" t="s">
        <v>13</v>
      </c>
      <c r="F12" t="s">
        <v>12</v>
      </c>
      <c r="G12" s="3">
        <v>3200</v>
      </c>
      <c r="H12" s="3">
        <v>700</v>
      </c>
      <c r="I12" s="3">
        <v>70</v>
      </c>
      <c r="J12">
        <v>360</v>
      </c>
      <c r="K12">
        <v>1</v>
      </c>
      <c r="L12" t="s">
        <v>14</v>
      </c>
      <c r="M12" t="s">
        <v>15</v>
      </c>
      <c r="N12">
        <f t="shared" si="0"/>
        <v>3900</v>
      </c>
      <c r="O12" t="str">
        <f t="shared" si="1"/>
        <v>Low</v>
      </c>
      <c r="P12" s="4">
        <f t="shared" si="2"/>
        <v>1.7948717948717947E-2</v>
      </c>
      <c r="Q12" t="str">
        <f t="shared" si="3"/>
        <v>Small</v>
      </c>
      <c r="R12" s="19">
        <f t="shared" si="4"/>
        <v>1</v>
      </c>
      <c r="S12" t="str">
        <f t="shared" si="5"/>
        <v>1</v>
      </c>
    </row>
    <row r="13" spans="1:19" x14ac:dyDescent="0.25">
      <c r="A13" t="s">
        <v>31</v>
      </c>
      <c r="B13" t="s">
        <v>11</v>
      </c>
      <c r="C13" t="s">
        <v>17</v>
      </c>
      <c r="D13">
        <v>2</v>
      </c>
      <c r="E13" t="s">
        <v>13</v>
      </c>
      <c r="F13" t="s">
        <v>12</v>
      </c>
      <c r="G13" s="3">
        <v>2500</v>
      </c>
      <c r="H13" s="3">
        <v>1840</v>
      </c>
      <c r="I13" s="3">
        <v>109</v>
      </c>
      <c r="J13">
        <v>360</v>
      </c>
      <c r="K13">
        <v>1</v>
      </c>
      <c r="L13" t="s">
        <v>14</v>
      </c>
      <c r="M13" t="s">
        <v>15</v>
      </c>
      <c r="N13">
        <f t="shared" si="0"/>
        <v>4340</v>
      </c>
      <c r="O13" t="str">
        <f t="shared" si="1"/>
        <v>Medium</v>
      </c>
      <c r="P13" s="4">
        <f t="shared" si="2"/>
        <v>2.511520737327189E-2</v>
      </c>
      <c r="Q13" t="str">
        <f t="shared" si="3"/>
        <v>Medium</v>
      </c>
      <c r="R13" s="19">
        <f t="shared" si="4"/>
        <v>1</v>
      </c>
      <c r="S13" t="str">
        <f t="shared" si="5"/>
        <v>1</v>
      </c>
    </row>
    <row r="14" spans="1:19" x14ac:dyDescent="0.25">
      <c r="A14" t="s">
        <v>32</v>
      </c>
      <c r="B14" t="s">
        <v>11</v>
      </c>
      <c r="C14" t="s">
        <v>17</v>
      </c>
      <c r="D14">
        <v>2</v>
      </c>
      <c r="E14" t="s">
        <v>13</v>
      </c>
      <c r="F14" t="s">
        <v>12</v>
      </c>
      <c r="G14" s="3">
        <v>3073</v>
      </c>
      <c r="H14" s="3">
        <v>8106</v>
      </c>
      <c r="I14" s="3">
        <v>200</v>
      </c>
      <c r="J14">
        <v>360</v>
      </c>
      <c r="K14">
        <v>1</v>
      </c>
      <c r="L14" t="s">
        <v>14</v>
      </c>
      <c r="M14" t="s">
        <v>15</v>
      </c>
      <c r="N14">
        <f t="shared" si="0"/>
        <v>11179</v>
      </c>
      <c r="O14" t="str">
        <f t="shared" si="1"/>
        <v>High</v>
      </c>
      <c r="P14" s="4">
        <f t="shared" si="2"/>
        <v>1.7890687896949638E-2</v>
      </c>
      <c r="Q14" t="str">
        <f t="shared" si="3"/>
        <v>Large</v>
      </c>
      <c r="R14" s="19">
        <f t="shared" si="4"/>
        <v>1</v>
      </c>
      <c r="S14" t="str">
        <f t="shared" si="5"/>
        <v>1</v>
      </c>
    </row>
    <row r="15" spans="1:19" x14ac:dyDescent="0.25">
      <c r="A15" t="s">
        <v>33</v>
      </c>
      <c r="B15" t="s">
        <v>11</v>
      </c>
      <c r="C15" t="s">
        <v>12</v>
      </c>
      <c r="D15">
        <v>0</v>
      </c>
      <c r="E15" t="s">
        <v>13</v>
      </c>
      <c r="F15" t="s">
        <v>12</v>
      </c>
      <c r="G15" s="3">
        <v>1853</v>
      </c>
      <c r="H15" s="3">
        <v>2840</v>
      </c>
      <c r="I15" s="3">
        <v>114</v>
      </c>
      <c r="J15">
        <v>360</v>
      </c>
      <c r="K15">
        <v>1</v>
      </c>
      <c r="L15" t="s">
        <v>18</v>
      </c>
      <c r="M15" t="s">
        <v>19</v>
      </c>
      <c r="N15">
        <f t="shared" si="0"/>
        <v>4693</v>
      </c>
      <c r="O15" t="str">
        <f t="shared" si="1"/>
        <v>Medium</v>
      </c>
      <c r="P15" s="4">
        <f t="shared" si="2"/>
        <v>2.4291497975708502E-2</v>
      </c>
      <c r="Q15" t="str">
        <f t="shared" si="3"/>
        <v>Medium</v>
      </c>
      <c r="R15" s="19">
        <f t="shared" si="4"/>
        <v>0</v>
      </c>
      <c r="S15" t="str">
        <f t="shared" si="5"/>
        <v>2</v>
      </c>
    </row>
    <row r="16" spans="1:19" x14ac:dyDescent="0.25">
      <c r="A16" t="s">
        <v>34</v>
      </c>
      <c r="B16" t="s">
        <v>11</v>
      </c>
      <c r="C16" t="s">
        <v>17</v>
      </c>
      <c r="D16">
        <v>2</v>
      </c>
      <c r="E16" t="s">
        <v>13</v>
      </c>
      <c r="F16" t="s">
        <v>12</v>
      </c>
      <c r="G16" s="3">
        <v>1299</v>
      </c>
      <c r="H16" s="3">
        <v>1086</v>
      </c>
      <c r="I16" s="3">
        <v>17</v>
      </c>
      <c r="J16">
        <v>120</v>
      </c>
      <c r="K16">
        <v>1</v>
      </c>
      <c r="L16" t="s">
        <v>14</v>
      </c>
      <c r="M16" t="s">
        <v>15</v>
      </c>
      <c r="N16">
        <f t="shared" si="0"/>
        <v>2385</v>
      </c>
      <c r="O16" t="str">
        <f t="shared" si="1"/>
        <v>Low</v>
      </c>
      <c r="P16" s="4">
        <f t="shared" si="2"/>
        <v>7.1278825995807127E-3</v>
      </c>
      <c r="Q16" t="str">
        <f t="shared" si="3"/>
        <v>Small</v>
      </c>
      <c r="R16" s="19">
        <f t="shared" si="4"/>
        <v>1</v>
      </c>
      <c r="S16" t="str">
        <f t="shared" si="5"/>
        <v>1</v>
      </c>
    </row>
    <row r="17" spans="1:19" x14ac:dyDescent="0.25">
      <c r="A17" t="s">
        <v>35</v>
      </c>
      <c r="B17" t="s">
        <v>11</v>
      </c>
      <c r="C17" t="s">
        <v>12</v>
      </c>
      <c r="D17">
        <v>0</v>
      </c>
      <c r="E17" t="s">
        <v>13</v>
      </c>
      <c r="F17" t="s">
        <v>12</v>
      </c>
      <c r="G17" s="3">
        <v>4950</v>
      </c>
      <c r="H17" s="3">
        <v>0</v>
      </c>
      <c r="I17" s="3">
        <v>125</v>
      </c>
      <c r="J17">
        <v>360</v>
      </c>
      <c r="K17">
        <v>1</v>
      </c>
      <c r="L17" t="s">
        <v>14</v>
      </c>
      <c r="M17" t="s">
        <v>15</v>
      </c>
      <c r="N17">
        <f t="shared" si="0"/>
        <v>4950</v>
      </c>
      <c r="O17" t="str">
        <f t="shared" si="1"/>
        <v>Medium</v>
      </c>
      <c r="P17" s="4">
        <f t="shared" si="2"/>
        <v>2.5252525252525252E-2</v>
      </c>
      <c r="Q17" t="str">
        <f t="shared" si="3"/>
        <v>Medium</v>
      </c>
      <c r="R17" s="19">
        <f t="shared" si="4"/>
        <v>1</v>
      </c>
      <c r="S17" t="str">
        <f t="shared" si="5"/>
        <v>1</v>
      </c>
    </row>
    <row r="18" spans="1:19" x14ac:dyDescent="0.25">
      <c r="A18" t="s">
        <v>36</v>
      </c>
      <c r="B18" t="s">
        <v>11</v>
      </c>
      <c r="C18" t="s">
        <v>12</v>
      </c>
      <c r="D18">
        <v>1</v>
      </c>
      <c r="E18" t="s">
        <v>22</v>
      </c>
      <c r="F18" t="s">
        <v>12</v>
      </c>
      <c r="G18" s="3">
        <v>3596</v>
      </c>
      <c r="H18" s="3">
        <v>0</v>
      </c>
      <c r="I18" s="3">
        <v>100</v>
      </c>
      <c r="J18">
        <v>240</v>
      </c>
      <c r="K18">
        <v>0</v>
      </c>
      <c r="L18" t="s">
        <v>14</v>
      </c>
      <c r="M18" t="s">
        <v>15</v>
      </c>
      <c r="N18">
        <f t="shared" si="0"/>
        <v>3596</v>
      </c>
      <c r="O18" t="str">
        <f t="shared" si="1"/>
        <v>Low</v>
      </c>
      <c r="P18" s="4">
        <f t="shared" si="2"/>
        <v>2.7808676307007785E-2</v>
      </c>
      <c r="Q18" t="str">
        <f t="shared" si="3"/>
        <v>Medium</v>
      </c>
      <c r="R18" s="19">
        <f t="shared" si="4"/>
        <v>1</v>
      </c>
      <c r="S18" t="str">
        <f t="shared" si="5"/>
        <v>1</v>
      </c>
    </row>
    <row r="19" spans="1:19" x14ac:dyDescent="0.25">
      <c r="A19" t="s">
        <v>37</v>
      </c>
      <c r="B19" t="s">
        <v>38</v>
      </c>
      <c r="C19" t="s">
        <v>12</v>
      </c>
      <c r="D19">
        <v>0</v>
      </c>
      <c r="E19" t="s">
        <v>13</v>
      </c>
      <c r="F19" t="s">
        <v>12</v>
      </c>
      <c r="G19" s="3">
        <v>3510</v>
      </c>
      <c r="H19" s="3">
        <v>0</v>
      </c>
      <c r="I19" s="3">
        <v>76</v>
      </c>
      <c r="J19">
        <v>360</v>
      </c>
      <c r="K19">
        <v>0</v>
      </c>
      <c r="L19" t="s">
        <v>14</v>
      </c>
      <c r="M19" t="s">
        <v>19</v>
      </c>
      <c r="N19">
        <f t="shared" si="0"/>
        <v>3510</v>
      </c>
      <c r="O19" t="str">
        <f t="shared" si="1"/>
        <v>Low</v>
      </c>
      <c r="P19" s="4">
        <f t="shared" si="2"/>
        <v>2.1652421652421653E-2</v>
      </c>
      <c r="Q19" t="str">
        <f t="shared" si="3"/>
        <v>Small</v>
      </c>
      <c r="R19" s="19">
        <f t="shared" si="4"/>
        <v>0</v>
      </c>
      <c r="S19" t="str">
        <f t="shared" si="5"/>
        <v>1</v>
      </c>
    </row>
    <row r="20" spans="1:19" x14ac:dyDescent="0.25">
      <c r="A20" t="s">
        <v>39</v>
      </c>
      <c r="B20" t="s">
        <v>11</v>
      </c>
      <c r="C20" t="s">
        <v>17</v>
      </c>
      <c r="D20">
        <v>0</v>
      </c>
      <c r="E20" t="s">
        <v>22</v>
      </c>
      <c r="F20" t="s">
        <v>12</v>
      </c>
      <c r="G20" s="3">
        <v>4887</v>
      </c>
      <c r="H20" s="3">
        <v>0</v>
      </c>
      <c r="I20" s="3">
        <v>133</v>
      </c>
      <c r="J20">
        <v>360</v>
      </c>
      <c r="K20">
        <v>1</v>
      </c>
      <c r="L20" t="s">
        <v>18</v>
      </c>
      <c r="M20" t="s">
        <v>19</v>
      </c>
      <c r="N20">
        <f t="shared" si="0"/>
        <v>4887</v>
      </c>
      <c r="O20" t="str">
        <f t="shared" si="1"/>
        <v>Medium</v>
      </c>
      <c r="P20" s="4">
        <f t="shared" si="2"/>
        <v>2.7215060364231634E-2</v>
      </c>
      <c r="Q20" t="str">
        <f t="shared" si="3"/>
        <v>Medium</v>
      </c>
      <c r="R20" s="19">
        <f t="shared" si="4"/>
        <v>0</v>
      </c>
      <c r="S20" t="str">
        <f t="shared" si="5"/>
        <v>2</v>
      </c>
    </row>
    <row r="21" spans="1:19" x14ac:dyDescent="0.25">
      <c r="A21" t="s">
        <v>40</v>
      </c>
      <c r="B21" t="s">
        <v>11</v>
      </c>
      <c r="C21" t="s">
        <v>17</v>
      </c>
      <c r="D21">
        <v>0</v>
      </c>
      <c r="E21" t="s">
        <v>13</v>
      </c>
      <c r="F21" t="s">
        <v>12</v>
      </c>
      <c r="G21" s="3">
        <v>2600</v>
      </c>
      <c r="H21" s="3">
        <v>3500</v>
      </c>
      <c r="I21" s="3">
        <v>115</v>
      </c>
      <c r="J21">
        <v>360</v>
      </c>
      <c r="K21">
        <v>1</v>
      </c>
      <c r="L21" t="s">
        <v>14</v>
      </c>
      <c r="M21" t="s">
        <v>15</v>
      </c>
      <c r="N21">
        <f t="shared" si="0"/>
        <v>6100</v>
      </c>
      <c r="O21" t="str">
        <f t="shared" si="1"/>
        <v>Medium</v>
      </c>
      <c r="P21" s="4">
        <f t="shared" si="2"/>
        <v>1.8852459016393444E-2</v>
      </c>
      <c r="Q21" t="str">
        <f t="shared" si="3"/>
        <v>Medium</v>
      </c>
      <c r="R21" s="19">
        <f t="shared" si="4"/>
        <v>1</v>
      </c>
      <c r="S21" t="str">
        <f t="shared" si="5"/>
        <v>1</v>
      </c>
    </row>
    <row r="22" spans="1:19" x14ac:dyDescent="0.25">
      <c r="A22" t="s">
        <v>41</v>
      </c>
      <c r="B22" t="s">
        <v>11</v>
      </c>
      <c r="C22" t="s">
        <v>17</v>
      </c>
      <c r="D22">
        <v>0</v>
      </c>
      <c r="E22" t="s">
        <v>22</v>
      </c>
      <c r="F22" t="s">
        <v>12</v>
      </c>
      <c r="G22" s="3">
        <v>7660</v>
      </c>
      <c r="H22" s="3">
        <v>0</v>
      </c>
      <c r="I22" s="3">
        <v>104</v>
      </c>
      <c r="J22">
        <v>360</v>
      </c>
      <c r="K22">
        <v>0</v>
      </c>
      <c r="L22" t="s">
        <v>14</v>
      </c>
      <c r="M22" t="s">
        <v>19</v>
      </c>
      <c r="N22">
        <f t="shared" si="0"/>
        <v>7660</v>
      </c>
      <c r="O22" t="str">
        <f t="shared" si="1"/>
        <v>Medium</v>
      </c>
      <c r="P22" s="4">
        <f t="shared" si="2"/>
        <v>1.3577023498694517E-2</v>
      </c>
      <c r="Q22" t="str">
        <f t="shared" si="3"/>
        <v>Medium</v>
      </c>
      <c r="R22" s="19">
        <f t="shared" si="4"/>
        <v>0</v>
      </c>
      <c r="S22" t="str">
        <f t="shared" si="5"/>
        <v>1</v>
      </c>
    </row>
    <row r="23" spans="1:19" x14ac:dyDescent="0.25">
      <c r="A23" t="s">
        <v>42</v>
      </c>
      <c r="B23" t="s">
        <v>11</v>
      </c>
      <c r="C23" t="s">
        <v>17</v>
      </c>
      <c r="D23">
        <v>1</v>
      </c>
      <c r="E23" t="s">
        <v>13</v>
      </c>
      <c r="F23" t="s">
        <v>12</v>
      </c>
      <c r="G23" s="3">
        <v>5955</v>
      </c>
      <c r="H23" s="3">
        <v>5625</v>
      </c>
      <c r="I23" s="3">
        <v>315</v>
      </c>
      <c r="J23">
        <v>360</v>
      </c>
      <c r="K23">
        <v>1</v>
      </c>
      <c r="L23" t="s">
        <v>14</v>
      </c>
      <c r="M23" t="s">
        <v>15</v>
      </c>
      <c r="N23">
        <f t="shared" si="0"/>
        <v>11580</v>
      </c>
      <c r="O23" t="str">
        <f t="shared" si="1"/>
        <v>High</v>
      </c>
      <c r="P23" s="4">
        <f t="shared" si="2"/>
        <v>2.7202072538860103E-2</v>
      </c>
      <c r="Q23" t="str">
        <f t="shared" si="3"/>
        <v>Large</v>
      </c>
      <c r="R23" s="19">
        <f t="shared" si="4"/>
        <v>1</v>
      </c>
      <c r="S23" t="str">
        <f t="shared" si="5"/>
        <v>1</v>
      </c>
    </row>
    <row r="24" spans="1:19" x14ac:dyDescent="0.25">
      <c r="A24" t="s">
        <v>43</v>
      </c>
      <c r="B24" t="s">
        <v>11</v>
      </c>
      <c r="C24" t="s">
        <v>17</v>
      </c>
      <c r="D24">
        <v>0</v>
      </c>
      <c r="E24" t="s">
        <v>22</v>
      </c>
      <c r="F24" t="s">
        <v>12</v>
      </c>
      <c r="G24" s="3">
        <v>2600</v>
      </c>
      <c r="H24" s="3">
        <v>1911</v>
      </c>
      <c r="I24" s="3">
        <v>116</v>
      </c>
      <c r="J24">
        <v>360</v>
      </c>
      <c r="K24">
        <v>0</v>
      </c>
      <c r="L24" t="s">
        <v>27</v>
      </c>
      <c r="M24" t="s">
        <v>19</v>
      </c>
      <c r="N24">
        <f t="shared" si="0"/>
        <v>4511</v>
      </c>
      <c r="O24" t="str">
        <f t="shared" si="1"/>
        <v>Medium</v>
      </c>
      <c r="P24" s="4">
        <f t="shared" si="2"/>
        <v>2.5714919086677012E-2</v>
      </c>
      <c r="Q24" t="str">
        <f t="shared" si="3"/>
        <v>Medium</v>
      </c>
      <c r="R24" s="19">
        <f t="shared" si="4"/>
        <v>0</v>
      </c>
      <c r="S24" t="str">
        <f t="shared" si="5"/>
        <v>3</v>
      </c>
    </row>
    <row r="25" spans="1:19" x14ac:dyDescent="0.25">
      <c r="A25" t="s">
        <v>44</v>
      </c>
      <c r="B25" t="s">
        <v>38</v>
      </c>
      <c r="C25" t="s">
        <v>17</v>
      </c>
      <c r="D25">
        <v>2</v>
      </c>
      <c r="E25" t="s">
        <v>22</v>
      </c>
      <c r="F25" t="s">
        <v>12</v>
      </c>
      <c r="G25" s="3">
        <v>3365</v>
      </c>
      <c r="H25" s="3">
        <v>1917</v>
      </c>
      <c r="I25" s="3">
        <v>112</v>
      </c>
      <c r="J25">
        <v>360</v>
      </c>
      <c r="K25">
        <v>0</v>
      </c>
      <c r="L25" t="s">
        <v>18</v>
      </c>
      <c r="M25" t="s">
        <v>19</v>
      </c>
      <c r="N25">
        <f t="shared" si="0"/>
        <v>5282</v>
      </c>
      <c r="O25" t="str">
        <f t="shared" si="1"/>
        <v>Medium</v>
      </c>
      <c r="P25" s="4">
        <f t="shared" si="2"/>
        <v>2.1204089360090876E-2</v>
      </c>
      <c r="Q25" t="str">
        <f t="shared" si="3"/>
        <v>Medium</v>
      </c>
      <c r="R25" s="19">
        <f t="shared" si="4"/>
        <v>0</v>
      </c>
      <c r="S25" t="str">
        <f t="shared" si="5"/>
        <v>2</v>
      </c>
    </row>
    <row r="26" spans="1:19" x14ac:dyDescent="0.25">
      <c r="A26" t="s">
        <v>45</v>
      </c>
      <c r="B26" t="s">
        <v>11</v>
      </c>
      <c r="C26" t="s">
        <v>17</v>
      </c>
      <c r="D26">
        <v>1</v>
      </c>
      <c r="E26" t="s">
        <v>13</v>
      </c>
      <c r="F26" t="s">
        <v>12</v>
      </c>
      <c r="G26" s="3">
        <v>3717</v>
      </c>
      <c r="H26" s="3">
        <v>2925</v>
      </c>
      <c r="I26" s="3">
        <v>151</v>
      </c>
      <c r="J26">
        <v>360</v>
      </c>
      <c r="K26">
        <v>0</v>
      </c>
      <c r="L26" t="s">
        <v>27</v>
      </c>
      <c r="M26" t="s">
        <v>19</v>
      </c>
      <c r="N26">
        <f t="shared" si="0"/>
        <v>6642</v>
      </c>
      <c r="O26" t="str">
        <f t="shared" si="1"/>
        <v>Medium</v>
      </c>
      <c r="P26" s="4">
        <f t="shared" si="2"/>
        <v>2.2734116230051189E-2</v>
      </c>
      <c r="Q26" t="str">
        <f t="shared" si="3"/>
        <v>Medium</v>
      </c>
      <c r="R26" s="19">
        <f t="shared" si="4"/>
        <v>0</v>
      </c>
      <c r="S26" t="str">
        <f t="shared" si="5"/>
        <v>3</v>
      </c>
    </row>
    <row r="27" spans="1:19" x14ac:dyDescent="0.25">
      <c r="A27" t="s">
        <v>46</v>
      </c>
      <c r="B27" t="s">
        <v>11</v>
      </c>
      <c r="C27" t="s">
        <v>17</v>
      </c>
      <c r="D27">
        <v>0</v>
      </c>
      <c r="E27" t="s">
        <v>13</v>
      </c>
      <c r="F27" t="s">
        <v>17</v>
      </c>
      <c r="G27" s="3">
        <v>9560</v>
      </c>
      <c r="H27" s="3">
        <v>0</v>
      </c>
      <c r="I27" s="3">
        <v>191</v>
      </c>
      <c r="J27">
        <v>360</v>
      </c>
      <c r="K27">
        <v>1</v>
      </c>
      <c r="L27" t="s">
        <v>27</v>
      </c>
      <c r="M27" t="s">
        <v>15</v>
      </c>
      <c r="N27">
        <f t="shared" si="0"/>
        <v>9560</v>
      </c>
      <c r="O27" t="str">
        <f t="shared" si="1"/>
        <v>High</v>
      </c>
      <c r="P27" s="4">
        <f t="shared" si="2"/>
        <v>1.9979079497907951E-2</v>
      </c>
      <c r="Q27" t="str">
        <f t="shared" si="3"/>
        <v>Medium</v>
      </c>
      <c r="R27" s="19">
        <f t="shared" si="4"/>
        <v>1</v>
      </c>
      <c r="S27" t="str">
        <f t="shared" si="5"/>
        <v>3</v>
      </c>
    </row>
    <row r="28" spans="1:19" x14ac:dyDescent="0.25">
      <c r="A28" t="s">
        <v>47</v>
      </c>
      <c r="B28" t="s">
        <v>11</v>
      </c>
      <c r="C28" t="s">
        <v>17</v>
      </c>
      <c r="D28">
        <v>0</v>
      </c>
      <c r="E28" t="s">
        <v>13</v>
      </c>
      <c r="F28" t="s">
        <v>12</v>
      </c>
      <c r="G28" s="3">
        <v>2799</v>
      </c>
      <c r="H28" s="3">
        <v>2253</v>
      </c>
      <c r="I28" s="3">
        <v>122</v>
      </c>
      <c r="J28">
        <v>360</v>
      </c>
      <c r="K28">
        <v>1</v>
      </c>
      <c r="L28" t="s">
        <v>27</v>
      </c>
      <c r="M28" t="s">
        <v>15</v>
      </c>
      <c r="N28">
        <f t="shared" si="0"/>
        <v>5052</v>
      </c>
      <c r="O28" t="str">
        <f t="shared" si="1"/>
        <v>Medium</v>
      </c>
      <c r="P28" s="4">
        <f t="shared" si="2"/>
        <v>2.414885193982581E-2</v>
      </c>
      <c r="Q28" t="str">
        <f t="shared" si="3"/>
        <v>Medium</v>
      </c>
      <c r="R28" s="19">
        <f t="shared" si="4"/>
        <v>1</v>
      </c>
      <c r="S28" t="str">
        <f t="shared" si="5"/>
        <v>3</v>
      </c>
    </row>
    <row r="29" spans="1:19" x14ac:dyDescent="0.25">
      <c r="A29" t="s">
        <v>48</v>
      </c>
      <c r="B29" t="s">
        <v>11</v>
      </c>
      <c r="C29" t="s">
        <v>17</v>
      </c>
      <c r="D29">
        <v>2</v>
      </c>
      <c r="E29" t="s">
        <v>22</v>
      </c>
      <c r="F29" t="s">
        <v>12</v>
      </c>
      <c r="G29" s="3">
        <v>4226</v>
      </c>
      <c r="H29" s="3">
        <v>1040</v>
      </c>
      <c r="I29" s="3">
        <v>110</v>
      </c>
      <c r="J29">
        <v>360</v>
      </c>
      <c r="K29">
        <v>1</v>
      </c>
      <c r="L29" t="s">
        <v>14</v>
      </c>
      <c r="M29" t="s">
        <v>15</v>
      </c>
      <c r="N29">
        <f t="shared" si="0"/>
        <v>5266</v>
      </c>
      <c r="O29" t="str">
        <f t="shared" si="1"/>
        <v>Medium</v>
      </c>
      <c r="P29" s="4">
        <f t="shared" si="2"/>
        <v>2.0888720091150777E-2</v>
      </c>
      <c r="Q29" t="str">
        <f t="shared" si="3"/>
        <v>Medium</v>
      </c>
      <c r="R29" s="19">
        <f t="shared" si="4"/>
        <v>1</v>
      </c>
      <c r="S29" t="str">
        <f t="shared" si="5"/>
        <v>1</v>
      </c>
    </row>
    <row r="30" spans="1:19" x14ac:dyDescent="0.25">
      <c r="A30" t="s">
        <v>49</v>
      </c>
      <c r="B30" t="s">
        <v>11</v>
      </c>
      <c r="C30" t="s">
        <v>12</v>
      </c>
      <c r="D30">
        <v>0</v>
      </c>
      <c r="E30" t="s">
        <v>22</v>
      </c>
      <c r="F30" t="s">
        <v>12</v>
      </c>
      <c r="G30" s="3">
        <v>1442</v>
      </c>
      <c r="H30" s="3">
        <v>0</v>
      </c>
      <c r="I30" s="3">
        <v>35</v>
      </c>
      <c r="J30">
        <v>360</v>
      </c>
      <c r="K30">
        <v>1</v>
      </c>
      <c r="L30" t="s">
        <v>14</v>
      </c>
      <c r="M30" t="s">
        <v>19</v>
      </c>
      <c r="N30">
        <f t="shared" si="0"/>
        <v>1442</v>
      </c>
      <c r="O30" t="str">
        <f t="shared" si="1"/>
        <v>Low</v>
      </c>
      <c r="P30" s="4">
        <f t="shared" si="2"/>
        <v>2.4271844660194174E-2</v>
      </c>
      <c r="Q30" t="str">
        <f t="shared" si="3"/>
        <v>Small</v>
      </c>
      <c r="R30" s="19">
        <f t="shared" si="4"/>
        <v>0</v>
      </c>
      <c r="S30" t="str">
        <f t="shared" si="5"/>
        <v>1</v>
      </c>
    </row>
    <row r="31" spans="1:19" x14ac:dyDescent="0.25">
      <c r="A31" t="s">
        <v>50</v>
      </c>
      <c r="B31" t="s">
        <v>38</v>
      </c>
      <c r="C31" t="s">
        <v>12</v>
      </c>
      <c r="D31">
        <v>2</v>
      </c>
      <c r="E31" t="s">
        <v>13</v>
      </c>
      <c r="F31" t="s">
        <v>12</v>
      </c>
      <c r="G31" s="3">
        <v>3750</v>
      </c>
      <c r="H31" s="3">
        <v>2083</v>
      </c>
      <c r="I31" s="3">
        <v>120</v>
      </c>
      <c r="J31">
        <v>360</v>
      </c>
      <c r="K31">
        <v>1</v>
      </c>
      <c r="L31" t="s">
        <v>27</v>
      </c>
      <c r="M31" t="s">
        <v>15</v>
      </c>
      <c r="N31">
        <f t="shared" si="0"/>
        <v>5833</v>
      </c>
      <c r="O31" t="str">
        <f t="shared" si="1"/>
        <v>Medium</v>
      </c>
      <c r="P31" s="4">
        <f t="shared" si="2"/>
        <v>2.0572604148808505E-2</v>
      </c>
      <c r="Q31" t="str">
        <f t="shared" si="3"/>
        <v>Medium</v>
      </c>
      <c r="R31" s="19">
        <f t="shared" si="4"/>
        <v>1</v>
      </c>
      <c r="S31" t="str">
        <f t="shared" si="5"/>
        <v>3</v>
      </c>
    </row>
    <row r="32" spans="1:19" x14ac:dyDescent="0.25">
      <c r="A32" t="s">
        <v>51</v>
      </c>
      <c r="B32" t="s">
        <v>11</v>
      </c>
      <c r="C32" t="s">
        <v>17</v>
      </c>
      <c r="D32">
        <v>1</v>
      </c>
      <c r="E32" t="s">
        <v>13</v>
      </c>
      <c r="F32" t="s">
        <v>12</v>
      </c>
      <c r="G32" s="3">
        <v>4166</v>
      </c>
      <c r="H32" s="3">
        <v>3369</v>
      </c>
      <c r="I32" s="3">
        <v>201</v>
      </c>
      <c r="J32">
        <v>360</v>
      </c>
      <c r="K32">
        <v>0</v>
      </c>
      <c r="L32" t="s">
        <v>14</v>
      </c>
      <c r="M32" t="s">
        <v>19</v>
      </c>
      <c r="N32">
        <f t="shared" si="0"/>
        <v>7535</v>
      </c>
      <c r="O32" t="str">
        <f t="shared" si="1"/>
        <v>Medium</v>
      </c>
      <c r="P32" s="4">
        <f t="shared" si="2"/>
        <v>2.6675514266755143E-2</v>
      </c>
      <c r="Q32" t="str">
        <f t="shared" si="3"/>
        <v>Large</v>
      </c>
      <c r="R32" s="19">
        <f t="shared" si="4"/>
        <v>0</v>
      </c>
      <c r="S32" t="str">
        <f t="shared" si="5"/>
        <v>1</v>
      </c>
    </row>
    <row r="33" spans="1:19" x14ac:dyDescent="0.25">
      <c r="A33" t="s">
        <v>52</v>
      </c>
      <c r="B33" t="s">
        <v>11</v>
      </c>
      <c r="C33" t="s">
        <v>12</v>
      </c>
      <c r="D33">
        <v>0</v>
      </c>
      <c r="E33" t="s">
        <v>13</v>
      </c>
      <c r="F33" t="s">
        <v>12</v>
      </c>
      <c r="G33" s="3">
        <v>3167</v>
      </c>
      <c r="H33" s="3">
        <v>0</v>
      </c>
      <c r="I33" s="3">
        <v>74</v>
      </c>
      <c r="J33">
        <v>360</v>
      </c>
      <c r="K33">
        <v>1</v>
      </c>
      <c r="L33" t="s">
        <v>14</v>
      </c>
      <c r="M33" t="s">
        <v>19</v>
      </c>
      <c r="N33">
        <f t="shared" si="0"/>
        <v>3167</v>
      </c>
      <c r="O33" t="str">
        <f t="shared" si="1"/>
        <v>Low</v>
      </c>
      <c r="P33" s="4">
        <f t="shared" si="2"/>
        <v>2.3365961477739186E-2</v>
      </c>
      <c r="Q33" t="str">
        <f t="shared" si="3"/>
        <v>Small</v>
      </c>
      <c r="R33" s="19">
        <f t="shared" si="4"/>
        <v>0</v>
      </c>
      <c r="S33" t="str">
        <f t="shared" si="5"/>
        <v>1</v>
      </c>
    </row>
    <row r="34" spans="1:19" x14ac:dyDescent="0.25">
      <c r="A34" t="s">
        <v>53</v>
      </c>
      <c r="B34" t="s">
        <v>11</v>
      </c>
      <c r="C34" t="s">
        <v>12</v>
      </c>
      <c r="D34">
        <v>1</v>
      </c>
      <c r="E34" t="s">
        <v>13</v>
      </c>
      <c r="F34" t="s">
        <v>17</v>
      </c>
      <c r="G34" s="3">
        <v>4692</v>
      </c>
      <c r="H34" s="3">
        <v>0</v>
      </c>
      <c r="I34" s="3">
        <v>106</v>
      </c>
      <c r="J34">
        <v>360</v>
      </c>
      <c r="K34">
        <v>1</v>
      </c>
      <c r="L34" t="s">
        <v>18</v>
      </c>
      <c r="M34" t="s">
        <v>19</v>
      </c>
      <c r="N34">
        <f t="shared" si="0"/>
        <v>4692</v>
      </c>
      <c r="O34" t="str">
        <f t="shared" si="1"/>
        <v>Medium</v>
      </c>
      <c r="P34" s="4">
        <f t="shared" si="2"/>
        <v>2.2591645353793693E-2</v>
      </c>
      <c r="Q34" t="str">
        <f t="shared" si="3"/>
        <v>Medium</v>
      </c>
      <c r="R34" s="19">
        <f t="shared" si="4"/>
        <v>0</v>
      </c>
      <c r="S34" t="str">
        <f t="shared" si="5"/>
        <v>2</v>
      </c>
    </row>
    <row r="35" spans="1:19" x14ac:dyDescent="0.25">
      <c r="A35" t="s">
        <v>54</v>
      </c>
      <c r="B35" t="s">
        <v>11</v>
      </c>
      <c r="C35" t="s">
        <v>17</v>
      </c>
      <c r="D35">
        <v>0</v>
      </c>
      <c r="E35" t="s">
        <v>13</v>
      </c>
      <c r="F35" t="s">
        <v>12</v>
      </c>
      <c r="G35" s="3">
        <v>3500</v>
      </c>
      <c r="H35" s="3">
        <v>1667</v>
      </c>
      <c r="I35" s="3">
        <v>114</v>
      </c>
      <c r="J35">
        <v>360</v>
      </c>
      <c r="K35">
        <v>1</v>
      </c>
      <c r="L35" t="s">
        <v>27</v>
      </c>
      <c r="M35" t="s">
        <v>15</v>
      </c>
      <c r="N35">
        <f t="shared" si="0"/>
        <v>5167</v>
      </c>
      <c r="O35" t="str">
        <f t="shared" si="1"/>
        <v>Medium</v>
      </c>
      <c r="P35" s="4">
        <f t="shared" si="2"/>
        <v>2.2063092703696534E-2</v>
      </c>
      <c r="Q35" t="str">
        <f t="shared" si="3"/>
        <v>Medium</v>
      </c>
      <c r="R35" s="19">
        <f t="shared" si="4"/>
        <v>1</v>
      </c>
      <c r="S35" t="str">
        <f t="shared" si="5"/>
        <v>3</v>
      </c>
    </row>
    <row r="36" spans="1:19" x14ac:dyDescent="0.25">
      <c r="A36" t="s">
        <v>55</v>
      </c>
      <c r="B36" t="s">
        <v>11</v>
      </c>
      <c r="C36" t="s">
        <v>12</v>
      </c>
      <c r="D36">
        <v>3</v>
      </c>
      <c r="E36" t="s">
        <v>13</v>
      </c>
      <c r="F36" t="s">
        <v>12</v>
      </c>
      <c r="G36" s="3">
        <v>12500</v>
      </c>
      <c r="H36" s="3">
        <v>3000</v>
      </c>
      <c r="I36" s="3">
        <v>320</v>
      </c>
      <c r="J36">
        <v>360</v>
      </c>
      <c r="K36">
        <v>1</v>
      </c>
      <c r="L36" t="s">
        <v>18</v>
      </c>
      <c r="M36" t="s">
        <v>19</v>
      </c>
      <c r="N36">
        <f t="shared" si="0"/>
        <v>15500</v>
      </c>
      <c r="O36" t="str">
        <f t="shared" si="1"/>
        <v>High</v>
      </c>
      <c r="P36" s="4">
        <f t="shared" si="2"/>
        <v>2.0645161290322581E-2</v>
      </c>
      <c r="Q36" t="str">
        <f t="shared" si="3"/>
        <v>Large</v>
      </c>
      <c r="R36" s="19">
        <f t="shared" si="4"/>
        <v>0</v>
      </c>
      <c r="S36" t="str">
        <f t="shared" si="5"/>
        <v>2</v>
      </c>
    </row>
    <row r="37" spans="1:19" x14ac:dyDescent="0.25">
      <c r="A37" t="s">
        <v>56</v>
      </c>
      <c r="B37" t="s">
        <v>11</v>
      </c>
      <c r="C37" t="s">
        <v>17</v>
      </c>
      <c r="D37">
        <v>0</v>
      </c>
      <c r="E37" t="s">
        <v>13</v>
      </c>
      <c r="F37" t="s">
        <v>12</v>
      </c>
      <c r="G37" s="3">
        <v>2275</v>
      </c>
      <c r="H37" s="3">
        <v>2067</v>
      </c>
      <c r="I37" s="3">
        <v>0</v>
      </c>
      <c r="J37">
        <v>360</v>
      </c>
      <c r="K37">
        <v>1</v>
      </c>
      <c r="L37" t="s">
        <v>14</v>
      </c>
      <c r="M37" t="s">
        <v>15</v>
      </c>
      <c r="N37">
        <f t="shared" si="0"/>
        <v>4342</v>
      </c>
      <c r="O37" t="str">
        <f t="shared" si="1"/>
        <v>Medium</v>
      </c>
      <c r="P37" s="4">
        <f t="shared" si="2"/>
        <v>0</v>
      </c>
      <c r="Q37" t="str">
        <f t="shared" si="3"/>
        <v>Small</v>
      </c>
      <c r="R37" s="19">
        <f t="shared" si="4"/>
        <v>1</v>
      </c>
      <c r="S37" t="str">
        <f t="shared" si="5"/>
        <v>1</v>
      </c>
    </row>
    <row r="38" spans="1:19" x14ac:dyDescent="0.25">
      <c r="A38" t="s">
        <v>57</v>
      </c>
      <c r="B38" t="s">
        <v>11</v>
      </c>
      <c r="C38" t="s">
        <v>17</v>
      </c>
      <c r="D38">
        <v>0</v>
      </c>
      <c r="E38" t="s">
        <v>13</v>
      </c>
      <c r="F38" t="s">
        <v>12</v>
      </c>
      <c r="G38" s="3">
        <v>1828</v>
      </c>
      <c r="H38" s="3">
        <v>1330</v>
      </c>
      <c r="I38" s="3">
        <v>100</v>
      </c>
      <c r="J38">
        <v>360</v>
      </c>
      <c r="K38">
        <v>0</v>
      </c>
      <c r="L38" t="s">
        <v>14</v>
      </c>
      <c r="M38" t="s">
        <v>19</v>
      </c>
      <c r="N38">
        <f t="shared" si="0"/>
        <v>3158</v>
      </c>
      <c r="O38" t="str">
        <f t="shared" si="1"/>
        <v>Low</v>
      </c>
      <c r="P38" s="4">
        <f t="shared" si="2"/>
        <v>3.1665611146295125E-2</v>
      </c>
      <c r="Q38" t="str">
        <f t="shared" si="3"/>
        <v>Medium</v>
      </c>
      <c r="R38" s="19">
        <f t="shared" si="4"/>
        <v>0</v>
      </c>
      <c r="S38" t="str">
        <f t="shared" si="5"/>
        <v>1</v>
      </c>
    </row>
    <row r="39" spans="1:19" x14ac:dyDescent="0.25">
      <c r="A39" t="s">
        <v>58</v>
      </c>
      <c r="B39" t="s">
        <v>38</v>
      </c>
      <c r="C39" t="s">
        <v>17</v>
      </c>
      <c r="D39">
        <v>0</v>
      </c>
      <c r="E39" t="s">
        <v>13</v>
      </c>
      <c r="F39" t="s">
        <v>12</v>
      </c>
      <c r="G39" s="3">
        <v>3667</v>
      </c>
      <c r="H39" s="3">
        <v>1459</v>
      </c>
      <c r="I39" s="3">
        <v>144</v>
      </c>
      <c r="J39">
        <v>360</v>
      </c>
      <c r="K39">
        <v>1</v>
      </c>
      <c r="L39" t="s">
        <v>27</v>
      </c>
      <c r="M39" t="s">
        <v>15</v>
      </c>
      <c r="N39">
        <f t="shared" si="0"/>
        <v>5126</v>
      </c>
      <c r="O39" t="str">
        <f t="shared" si="1"/>
        <v>Medium</v>
      </c>
      <c r="P39" s="4">
        <f t="shared" si="2"/>
        <v>2.8092079594225518E-2</v>
      </c>
      <c r="Q39" t="str">
        <f t="shared" si="3"/>
        <v>Medium</v>
      </c>
      <c r="R39" s="19">
        <f t="shared" si="4"/>
        <v>1</v>
      </c>
      <c r="S39" t="str">
        <f t="shared" si="5"/>
        <v>3</v>
      </c>
    </row>
    <row r="40" spans="1:19" x14ac:dyDescent="0.25">
      <c r="A40" t="s">
        <v>59</v>
      </c>
      <c r="B40" t="s">
        <v>11</v>
      </c>
      <c r="C40" t="s">
        <v>12</v>
      </c>
      <c r="D40">
        <v>0</v>
      </c>
      <c r="E40" t="s">
        <v>13</v>
      </c>
      <c r="F40" t="s">
        <v>12</v>
      </c>
      <c r="G40" s="3">
        <v>4166</v>
      </c>
      <c r="H40" s="3">
        <v>7210</v>
      </c>
      <c r="I40" s="3">
        <v>184</v>
      </c>
      <c r="J40">
        <v>360</v>
      </c>
      <c r="K40">
        <v>1</v>
      </c>
      <c r="L40" t="s">
        <v>14</v>
      </c>
      <c r="M40" t="s">
        <v>15</v>
      </c>
      <c r="N40">
        <f t="shared" si="0"/>
        <v>11376</v>
      </c>
      <c r="O40" t="str">
        <f t="shared" si="1"/>
        <v>High</v>
      </c>
      <c r="P40" s="4">
        <f t="shared" si="2"/>
        <v>1.6174402250351619E-2</v>
      </c>
      <c r="Q40" t="str">
        <f t="shared" si="3"/>
        <v>Medium</v>
      </c>
      <c r="R40" s="19">
        <f t="shared" si="4"/>
        <v>1</v>
      </c>
      <c r="S40" t="str">
        <f t="shared" si="5"/>
        <v>1</v>
      </c>
    </row>
    <row r="41" spans="1:19" x14ac:dyDescent="0.25">
      <c r="A41" t="s">
        <v>60</v>
      </c>
      <c r="B41" t="s">
        <v>11</v>
      </c>
      <c r="C41" t="s">
        <v>12</v>
      </c>
      <c r="D41">
        <v>0</v>
      </c>
      <c r="E41" t="s">
        <v>22</v>
      </c>
      <c r="F41" t="s">
        <v>12</v>
      </c>
      <c r="G41" s="3">
        <v>3748</v>
      </c>
      <c r="H41" s="3">
        <v>1668</v>
      </c>
      <c r="I41" s="3">
        <v>110</v>
      </c>
      <c r="J41">
        <v>360</v>
      </c>
      <c r="K41">
        <v>1</v>
      </c>
      <c r="L41" t="s">
        <v>27</v>
      </c>
      <c r="M41" t="s">
        <v>15</v>
      </c>
      <c r="N41">
        <f t="shared" si="0"/>
        <v>5416</v>
      </c>
      <c r="O41" t="str">
        <f t="shared" si="1"/>
        <v>Medium</v>
      </c>
      <c r="P41" s="4">
        <f t="shared" si="2"/>
        <v>2.031019202363368E-2</v>
      </c>
      <c r="Q41" t="str">
        <f t="shared" si="3"/>
        <v>Medium</v>
      </c>
      <c r="R41" s="19">
        <f t="shared" si="4"/>
        <v>1</v>
      </c>
      <c r="S41" t="str">
        <f t="shared" si="5"/>
        <v>3</v>
      </c>
    </row>
    <row r="42" spans="1:19" x14ac:dyDescent="0.25">
      <c r="A42" t="s">
        <v>61</v>
      </c>
      <c r="B42" t="s">
        <v>11</v>
      </c>
      <c r="C42" t="s">
        <v>12</v>
      </c>
      <c r="D42">
        <v>0</v>
      </c>
      <c r="E42" t="s">
        <v>13</v>
      </c>
      <c r="F42" t="s">
        <v>12</v>
      </c>
      <c r="G42" s="3">
        <v>3600</v>
      </c>
      <c r="H42" s="3">
        <v>0</v>
      </c>
      <c r="I42" s="3">
        <v>80</v>
      </c>
      <c r="J42">
        <v>360</v>
      </c>
      <c r="K42">
        <v>1</v>
      </c>
      <c r="L42" t="s">
        <v>14</v>
      </c>
      <c r="M42" t="s">
        <v>19</v>
      </c>
      <c r="N42">
        <f t="shared" si="0"/>
        <v>3600</v>
      </c>
      <c r="O42" t="str">
        <f t="shared" si="1"/>
        <v>Low</v>
      </c>
      <c r="P42" s="4">
        <f t="shared" si="2"/>
        <v>2.2222222222222223E-2</v>
      </c>
      <c r="Q42" t="str">
        <f t="shared" si="3"/>
        <v>Small</v>
      </c>
      <c r="R42" s="19">
        <f t="shared" si="4"/>
        <v>0</v>
      </c>
      <c r="S42" t="str">
        <f t="shared" si="5"/>
        <v>1</v>
      </c>
    </row>
    <row r="43" spans="1:19" x14ac:dyDescent="0.25">
      <c r="A43" t="s">
        <v>62</v>
      </c>
      <c r="B43" t="s">
        <v>11</v>
      </c>
      <c r="C43" t="s">
        <v>12</v>
      </c>
      <c r="D43">
        <v>0</v>
      </c>
      <c r="E43" t="s">
        <v>13</v>
      </c>
      <c r="F43" t="s">
        <v>12</v>
      </c>
      <c r="G43" s="3">
        <v>1800</v>
      </c>
      <c r="H43" s="3">
        <v>1213</v>
      </c>
      <c r="I43" s="3">
        <v>47</v>
      </c>
      <c r="J43">
        <v>360</v>
      </c>
      <c r="K43">
        <v>1</v>
      </c>
      <c r="L43" t="s">
        <v>14</v>
      </c>
      <c r="M43" t="s">
        <v>15</v>
      </c>
      <c r="N43">
        <f t="shared" si="0"/>
        <v>3013</v>
      </c>
      <c r="O43" t="str">
        <f t="shared" si="1"/>
        <v>Low</v>
      </c>
      <c r="P43" s="4">
        <f t="shared" si="2"/>
        <v>1.5599070693660804E-2</v>
      </c>
      <c r="Q43" t="str">
        <f t="shared" si="3"/>
        <v>Small</v>
      </c>
      <c r="R43" s="19">
        <f t="shared" si="4"/>
        <v>1</v>
      </c>
      <c r="S43" t="str">
        <f t="shared" si="5"/>
        <v>1</v>
      </c>
    </row>
    <row r="44" spans="1:19" x14ac:dyDescent="0.25">
      <c r="A44" t="s">
        <v>63</v>
      </c>
      <c r="B44" t="s">
        <v>11</v>
      </c>
      <c r="C44" t="s">
        <v>17</v>
      </c>
      <c r="D44">
        <v>0</v>
      </c>
      <c r="E44" t="s">
        <v>13</v>
      </c>
      <c r="F44" t="s">
        <v>12</v>
      </c>
      <c r="G44" s="3">
        <v>2400</v>
      </c>
      <c r="H44" s="3">
        <v>0</v>
      </c>
      <c r="I44" s="3">
        <v>75</v>
      </c>
      <c r="J44">
        <v>360</v>
      </c>
      <c r="K44">
        <v>1</v>
      </c>
      <c r="L44" t="s">
        <v>14</v>
      </c>
      <c r="M44" t="s">
        <v>15</v>
      </c>
      <c r="N44">
        <f t="shared" si="0"/>
        <v>2400</v>
      </c>
      <c r="O44" t="str">
        <f t="shared" si="1"/>
        <v>Low</v>
      </c>
      <c r="P44" s="4">
        <f t="shared" si="2"/>
        <v>3.125E-2</v>
      </c>
      <c r="Q44" t="str">
        <f t="shared" si="3"/>
        <v>Small</v>
      </c>
      <c r="R44" s="19">
        <f t="shared" si="4"/>
        <v>1</v>
      </c>
      <c r="S44" t="str">
        <f t="shared" si="5"/>
        <v>1</v>
      </c>
    </row>
    <row r="45" spans="1:19" x14ac:dyDescent="0.25">
      <c r="A45" t="s">
        <v>64</v>
      </c>
      <c r="B45" t="s">
        <v>11</v>
      </c>
      <c r="C45" t="s">
        <v>17</v>
      </c>
      <c r="D45">
        <v>0</v>
      </c>
      <c r="E45" t="s">
        <v>13</v>
      </c>
      <c r="F45" t="s">
        <v>12</v>
      </c>
      <c r="G45" s="3">
        <v>3941</v>
      </c>
      <c r="H45" s="3">
        <v>2336</v>
      </c>
      <c r="I45" s="3">
        <v>134</v>
      </c>
      <c r="J45">
        <v>360</v>
      </c>
      <c r="K45">
        <v>1</v>
      </c>
      <c r="L45" t="s">
        <v>27</v>
      </c>
      <c r="M45" t="s">
        <v>15</v>
      </c>
      <c r="N45">
        <f t="shared" si="0"/>
        <v>6277</v>
      </c>
      <c r="O45" t="str">
        <f t="shared" si="1"/>
        <v>Medium</v>
      </c>
      <c r="P45" s="4">
        <f t="shared" si="2"/>
        <v>2.1347777600764697E-2</v>
      </c>
      <c r="Q45" t="str">
        <f t="shared" si="3"/>
        <v>Medium</v>
      </c>
      <c r="R45" s="19">
        <f t="shared" si="4"/>
        <v>1</v>
      </c>
      <c r="S45" t="str">
        <f t="shared" si="5"/>
        <v>3</v>
      </c>
    </row>
    <row r="46" spans="1:19" x14ac:dyDescent="0.25">
      <c r="A46" t="s">
        <v>65</v>
      </c>
      <c r="B46" t="s">
        <v>11</v>
      </c>
      <c r="C46" t="s">
        <v>17</v>
      </c>
      <c r="D46">
        <v>0</v>
      </c>
      <c r="E46" t="s">
        <v>22</v>
      </c>
      <c r="F46" t="s">
        <v>17</v>
      </c>
      <c r="G46" s="3">
        <v>4695</v>
      </c>
      <c r="H46" s="3">
        <v>0</v>
      </c>
      <c r="I46" s="3">
        <v>96</v>
      </c>
      <c r="J46">
        <v>360</v>
      </c>
      <c r="K46">
        <v>1</v>
      </c>
      <c r="L46" t="s">
        <v>14</v>
      </c>
      <c r="M46" t="s">
        <v>15</v>
      </c>
      <c r="N46">
        <f t="shared" si="0"/>
        <v>4695</v>
      </c>
      <c r="O46" t="str">
        <f t="shared" si="1"/>
        <v>Medium</v>
      </c>
      <c r="P46" s="4">
        <f t="shared" si="2"/>
        <v>2.0447284345047924E-2</v>
      </c>
      <c r="Q46" t="str">
        <f t="shared" si="3"/>
        <v>Small</v>
      </c>
      <c r="R46" s="19">
        <f t="shared" si="4"/>
        <v>1</v>
      </c>
      <c r="S46" t="str">
        <f t="shared" si="5"/>
        <v>1</v>
      </c>
    </row>
    <row r="47" spans="1:19" x14ac:dyDescent="0.25">
      <c r="A47" t="s">
        <v>66</v>
      </c>
      <c r="B47" t="s">
        <v>38</v>
      </c>
      <c r="C47" t="s">
        <v>12</v>
      </c>
      <c r="D47">
        <v>0</v>
      </c>
      <c r="E47" t="s">
        <v>13</v>
      </c>
      <c r="F47" t="s">
        <v>12</v>
      </c>
      <c r="G47" s="3">
        <v>3410</v>
      </c>
      <c r="H47" s="3">
        <v>0</v>
      </c>
      <c r="I47" s="3">
        <v>88</v>
      </c>
      <c r="J47">
        <v>360</v>
      </c>
      <c r="K47">
        <v>1</v>
      </c>
      <c r="L47" t="s">
        <v>14</v>
      </c>
      <c r="M47" t="s">
        <v>15</v>
      </c>
      <c r="N47">
        <f t="shared" si="0"/>
        <v>3410</v>
      </c>
      <c r="O47" t="str">
        <f t="shared" si="1"/>
        <v>Low</v>
      </c>
      <c r="P47" s="4">
        <f t="shared" si="2"/>
        <v>2.5806451612903226E-2</v>
      </c>
      <c r="Q47" t="str">
        <f t="shared" si="3"/>
        <v>Small</v>
      </c>
      <c r="R47" s="19">
        <f t="shared" si="4"/>
        <v>1</v>
      </c>
      <c r="S47" t="str">
        <f t="shared" si="5"/>
        <v>1</v>
      </c>
    </row>
    <row r="48" spans="1:19" x14ac:dyDescent="0.25">
      <c r="A48" t="s">
        <v>67</v>
      </c>
      <c r="B48" t="s">
        <v>11</v>
      </c>
      <c r="C48" t="s">
        <v>17</v>
      </c>
      <c r="D48">
        <v>1</v>
      </c>
      <c r="E48" t="s">
        <v>13</v>
      </c>
      <c r="F48" t="s">
        <v>12</v>
      </c>
      <c r="G48" s="3">
        <v>5649</v>
      </c>
      <c r="H48" s="3">
        <v>0</v>
      </c>
      <c r="I48" s="3">
        <v>44</v>
      </c>
      <c r="J48">
        <v>360</v>
      </c>
      <c r="K48">
        <v>1</v>
      </c>
      <c r="L48" t="s">
        <v>14</v>
      </c>
      <c r="M48" t="s">
        <v>15</v>
      </c>
      <c r="N48">
        <f t="shared" si="0"/>
        <v>5649</v>
      </c>
      <c r="O48" t="str">
        <f t="shared" si="1"/>
        <v>Medium</v>
      </c>
      <c r="P48" s="4">
        <f t="shared" si="2"/>
        <v>7.7889892016286067E-3</v>
      </c>
      <c r="Q48" t="str">
        <f t="shared" si="3"/>
        <v>Small</v>
      </c>
      <c r="R48" s="19">
        <f t="shared" si="4"/>
        <v>1</v>
      </c>
      <c r="S48" t="str">
        <f t="shared" si="5"/>
        <v>1</v>
      </c>
    </row>
    <row r="49" spans="1:19" x14ac:dyDescent="0.25">
      <c r="A49" t="s">
        <v>68</v>
      </c>
      <c r="B49" t="s">
        <v>11</v>
      </c>
      <c r="C49" t="s">
        <v>17</v>
      </c>
      <c r="D49">
        <v>0</v>
      </c>
      <c r="E49" t="s">
        <v>13</v>
      </c>
      <c r="F49" t="s">
        <v>12</v>
      </c>
      <c r="G49" s="3">
        <v>5821</v>
      </c>
      <c r="H49" s="3">
        <v>0</v>
      </c>
      <c r="I49" s="3">
        <v>144</v>
      </c>
      <c r="J49">
        <v>360</v>
      </c>
      <c r="K49">
        <v>1</v>
      </c>
      <c r="L49" t="s">
        <v>14</v>
      </c>
      <c r="M49" t="s">
        <v>15</v>
      </c>
      <c r="N49">
        <f t="shared" si="0"/>
        <v>5821</v>
      </c>
      <c r="O49" t="str">
        <f t="shared" si="1"/>
        <v>Medium</v>
      </c>
      <c r="P49" s="4">
        <f t="shared" si="2"/>
        <v>2.4738017522762411E-2</v>
      </c>
      <c r="Q49" t="str">
        <f t="shared" si="3"/>
        <v>Medium</v>
      </c>
      <c r="R49" s="19">
        <f t="shared" si="4"/>
        <v>1</v>
      </c>
      <c r="S49" t="str">
        <f t="shared" si="5"/>
        <v>1</v>
      </c>
    </row>
    <row r="50" spans="1:19" x14ac:dyDescent="0.25">
      <c r="A50" t="s">
        <v>69</v>
      </c>
      <c r="B50" t="s">
        <v>38</v>
      </c>
      <c r="C50" t="s">
        <v>17</v>
      </c>
      <c r="D50">
        <v>0</v>
      </c>
      <c r="E50" t="s">
        <v>13</v>
      </c>
      <c r="F50" t="s">
        <v>12</v>
      </c>
      <c r="G50" s="3">
        <v>2645</v>
      </c>
      <c r="H50" s="3">
        <v>3440</v>
      </c>
      <c r="I50" s="3">
        <v>120</v>
      </c>
      <c r="J50">
        <v>360</v>
      </c>
      <c r="K50">
        <v>0</v>
      </c>
      <c r="L50" t="s">
        <v>14</v>
      </c>
      <c r="M50" t="s">
        <v>19</v>
      </c>
      <c r="N50">
        <f t="shared" si="0"/>
        <v>6085</v>
      </c>
      <c r="O50" t="str">
        <f t="shared" si="1"/>
        <v>Medium</v>
      </c>
      <c r="P50" s="4">
        <f t="shared" si="2"/>
        <v>1.972062448644207E-2</v>
      </c>
      <c r="Q50" t="str">
        <f t="shared" si="3"/>
        <v>Medium</v>
      </c>
      <c r="R50" s="19">
        <f t="shared" si="4"/>
        <v>0</v>
      </c>
      <c r="S50" t="str">
        <f t="shared" si="5"/>
        <v>1</v>
      </c>
    </row>
    <row r="51" spans="1:19" x14ac:dyDescent="0.25">
      <c r="A51" t="s">
        <v>70</v>
      </c>
      <c r="B51" t="s">
        <v>38</v>
      </c>
      <c r="C51" t="s">
        <v>12</v>
      </c>
      <c r="D51">
        <v>0</v>
      </c>
      <c r="E51" t="s">
        <v>13</v>
      </c>
      <c r="F51" t="s">
        <v>12</v>
      </c>
      <c r="G51" s="3">
        <v>4000</v>
      </c>
      <c r="H51" s="3">
        <v>2275</v>
      </c>
      <c r="I51" s="3">
        <v>144</v>
      </c>
      <c r="J51">
        <v>360</v>
      </c>
      <c r="K51">
        <v>1</v>
      </c>
      <c r="L51" t="s">
        <v>27</v>
      </c>
      <c r="M51" t="s">
        <v>15</v>
      </c>
      <c r="N51">
        <f t="shared" si="0"/>
        <v>6275</v>
      </c>
      <c r="O51" t="str">
        <f t="shared" si="1"/>
        <v>Medium</v>
      </c>
      <c r="P51" s="4">
        <f t="shared" si="2"/>
        <v>2.2948207171314742E-2</v>
      </c>
      <c r="Q51" t="str">
        <f t="shared" si="3"/>
        <v>Medium</v>
      </c>
      <c r="R51" s="19">
        <f t="shared" si="4"/>
        <v>1</v>
      </c>
      <c r="S51" t="str">
        <f t="shared" si="5"/>
        <v>3</v>
      </c>
    </row>
    <row r="52" spans="1:19" x14ac:dyDescent="0.25">
      <c r="A52" t="s">
        <v>71</v>
      </c>
      <c r="B52" t="s">
        <v>38</v>
      </c>
      <c r="C52" t="s">
        <v>17</v>
      </c>
      <c r="D52">
        <v>0</v>
      </c>
      <c r="E52" t="s">
        <v>22</v>
      </c>
      <c r="F52" t="s">
        <v>12</v>
      </c>
      <c r="G52" s="3">
        <v>1928</v>
      </c>
      <c r="H52" s="3">
        <v>1644</v>
      </c>
      <c r="I52" s="3">
        <v>100</v>
      </c>
      <c r="J52">
        <v>360</v>
      </c>
      <c r="K52">
        <v>1</v>
      </c>
      <c r="L52" t="s">
        <v>27</v>
      </c>
      <c r="M52" t="s">
        <v>15</v>
      </c>
      <c r="N52">
        <f t="shared" si="0"/>
        <v>3572</v>
      </c>
      <c r="O52" t="str">
        <f t="shared" si="1"/>
        <v>Low</v>
      </c>
      <c r="P52" s="4">
        <f t="shared" si="2"/>
        <v>2.7995520716685332E-2</v>
      </c>
      <c r="Q52" t="str">
        <f t="shared" si="3"/>
        <v>Medium</v>
      </c>
      <c r="R52" s="19">
        <f t="shared" si="4"/>
        <v>1</v>
      </c>
      <c r="S52" t="str">
        <f t="shared" si="5"/>
        <v>3</v>
      </c>
    </row>
    <row r="53" spans="1:19" x14ac:dyDescent="0.25">
      <c r="A53" t="s">
        <v>72</v>
      </c>
      <c r="B53" t="s">
        <v>38</v>
      </c>
      <c r="C53" t="s">
        <v>12</v>
      </c>
      <c r="D53">
        <v>0</v>
      </c>
      <c r="E53" t="s">
        <v>13</v>
      </c>
      <c r="F53" t="s">
        <v>12</v>
      </c>
      <c r="G53" s="3">
        <v>3086</v>
      </c>
      <c r="H53" s="3">
        <v>0</v>
      </c>
      <c r="I53" s="3">
        <v>120</v>
      </c>
      <c r="J53">
        <v>360</v>
      </c>
      <c r="K53">
        <v>1</v>
      </c>
      <c r="L53" t="s">
        <v>27</v>
      </c>
      <c r="M53" t="s">
        <v>15</v>
      </c>
      <c r="N53">
        <f t="shared" si="0"/>
        <v>3086</v>
      </c>
      <c r="O53" t="str">
        <f t="shared" si="1"/>
        <v>Low</v>
      </c>
      <c r="P53" s="4">
        <f t="shared" si="2"/>
        <v>3.8885288399222291E-2</v>
      </c>
      <c r="Q53" t="str">
        <f t="shared" si="3"/>
        <v>Medium</v>
      </c>
      <c r="R53" s="19">
        <f t="shared" si="4"/>
        <v>1</v>
      </c>
      <c r="S53" t="str">
        <f t="shared" si="5"/>
        <v>3</v>
      </c>
    </row>
    <row r="54" spans="1:19" x14ac:dyDescent="0.25">
      <c r="A54" t="s">
        <v>73</v>
      </c>
      <c r="B54" t="s">
        <v>38</v>
      </c>
      <c r="C54" t="s">
        <v>12</v>
      </c>
      <c r="D54">
        <v>0</v>
      </c>
      <c r="E54" t="s">
        <v>13</v>
      </c>
      <c r="F54" t="s">
        <v>12</v>
      </c>
      <c r="G54" s="3">
        <v>4230</v>
      </c>
      <c r="H54" s="3">
        <v>0</v>
      </c>
      <c r="I54" s="3">
        <v>112</v>
      </c>
      <c r="J54">
        <v>360</v>
      </c>
      <c r="K54">
        <v>1</v>
      </c>
      <c r="L54" t="s">
        <v>27</v>
      </c>
      <c r="M54" t="s">
        <v>19</v>
      </c>
      <c r="N54">
        <f t="shared" si="0"/>
        <v>4230</v>
      </c>
      <c r="O54" t="str">
        <f t="shared" si="1"/>
        <v>Medium</v>
      </c>
      <c r="P54" s="4">
        <f t="shared" si="2"/>
        <v>2.6477541371158392E-2</v>
      </c>
      <c r="Q54" t="str">
        <f t="shared" si="3"/>
        <v>Medium</v>
      </c>
      <c r="R54" s="19">
        <f t="shared" si="4"/>
        <v>0</v>
      </c>
      <c r="S54" t="str">
        <f t="shared" si="5"/>
        <v>3</v>
      </c>
    </row>
    <row r="55" spans="1:19" x14ac:dyDescent="0.25">
      <c r="A55" t="s">
        <v>74</v>
      </c>
      <c r="B55" t="s">
        <v>11</v>
      </c>
      <c r="C55" t="s">
        <v>17</v>
      </c>
      <c r="D55">
        <v>2</v>
      </c>
      <c r="E55" t="s">
        <v>13</v>
      </c>
      <c r="F55" t="s">
        <v>12</v>
      </c>
      <c r="G55" s="3">
        <v>4616</v>
      </c>
      <c r="H55" s="3">
        <v>0</v>
      </c>
      <c r="I55" s="3">
        <v>134</v>
      </c>
      <c r="J55">
        <v>360</v>
      </c>
      <c r="K55">
        <v>1</v>
      </c>
      <c r="L55" t="s">
        <v>14</v>
      </c>
      <c r="M55" t="s">
        <v>19</v>
      </c>
      <c r="N55">
        <f t="shared" si="0"/>
        <v>4616</v>
      </c>
      <c r="O55" t="str">
        <f t="shared" si="1"/>
        <v>Medium</v>
      </c>
      <c r="P55" s="4">
        <f t="shared" si="2"/>
        <v>2.9029462738301561E-2</v>
      </c>
      <c r="Q55" t="str">
        <f t="shared" si="3"/>
        <v>Medium</v>
      </c>
      <c r="R55" s="19">
        <f t="shared" si="4"/>
        <v>0</v>
      </c>
      <c r="S55" t="str">
        <f t="shared" si="5"/>
        <v>1</v>
      </c>
    </row>
    <row r="56" spans="1:19" x14ac:dyDescent="0.25">
      <c r="A56" t="s">
        <v>75</v>
      </c>
      <c r="B56" t="s">
        <v>38</v>
      </c>
      <c r="C56" t="s">
        <v>17</v>
      </c>
      <c r="D56">
        <v>1</v>
      </c>
      <c r="E56" t="s">
        <v>13</v>
      </c>
      <c r="F56" t="s">
        <v>17</v>
      </c>
      <c r="G56" s="3">
        <v>11500</v>
      </c>
      <c r="H56" s="3">
        <v>0</v>
      </c>
      <c r="I56" s="3">
        <v>286</v>
      </c>
      <c r="J56">
        <v>360</v>
      </c>
      <c r="K56">
        <v>0</v>
      </c>
      <c r="L56" t="s">
        <v>14</v>
      </c>
      <c r="M56" t="s">
        <v>19</v>
      </c>
      <c r="N56">
        <f t="shared" si="0"/>
        <v>11500</v>
      </c>
      <c r="O56" t="str">
        <f t="shared" si="1"/>
        <v>High</v>
      </c>
      <c r="P56" s="4">
        <f t="shared" si="2"/>
        <v>2.4869565217391306E-2</v>
      </c>
      <c r="Q56" t="str">
        <f t="shared" si="3"/>
        <v>Large</v>
      </c>
      <c r="R56" s="19">
        <f t="shared" si="4"/>
        <v>0</v>
      </c>
      <c r="S56" t="str">
        <f t="shared" si="5"/>
        <v>1</v>
      </c>
    </row>
    <row r="57" spans="1:19" x14ac:dyDescent="0.25">
      <c r="A57" t="s">
        <v>76</v>
      </c>
      <c r="B57" t="s">
        <v>11</v>
      </c>
      <c r="C57" t="s">
        <v>17</v>
      </c>
      <c r="D57">
        <v>2</v>
      </c>
      <c r="E57" t="s">
        <v>13</v>
      </c>
      <c r="F57" t="s">
        <v>12</v>
      </c>
      <c r="G57" s="3">
        <v>2708</v>
      </c>
      <c r="H57" s="3">
        <v>1167</v>
      </c>
      <c r="I57" s="3">
        <v>97</v>
      </c>
      <c r="J57">
        <v>360</v>
      </c>
      <c r="K57">
        <v>1</v>
      </c>
      <c r="L57" t="s">
        <v>27</v>
      </c>
      <c r="M57" t="s">
        <v>15</v>
      </c>
      <c r="N57">
        <f t="shared" si="0"/>
        <v>3875</v>
      </c>
      <c r="O57" t="str">
        <f t="shared" si="1"/>
        <v>Low</v>
      </c>
      <c r="P57" s="4">
        <f t="shared" si="2"/>
        <v>2.503225806451613E-2</v>
      </c>
      <c r="Q57" t="str">
        <f t="shared" si="3"/>
        <v>Small</v>
      </c>
      <c r="R57" s="19">
        <f t="shared" si="4"/>
        <v>1</v>
      </c>
      <c r="S57" t="str">
        <f t="shared" si="5"/>
        <v>3</v>
      </c>
    </row>
    <row r="58" spans="1:19" x14ac:dyDescent="0.25">
      <c r="A58" t="s">
        <v>77</v>
      </c>
      <c r="B58" t="s">
        <v>11</v>
      </c>
      <c r="C58" t="s">
        <v>17</v>
      </c>
      <c r="D58">
        <v>0</v>
      </c>
      <c r="E58" t="s">
        <v>13</v>
      </c>
      <c r="F58" t="s">
        <v>12</v>
      </c>
      <c r="G58" s="3">
        <v>2132</v>
      </c>
      <c r="H58" s="3">
        <v>1591</v>
      </c>
      <c r="I58" s="3">
        <v>96</v>
      </c>
      <c r="J58">
        <v>360</v>
      </c>
      <c r="K58">
        <v>1</v>
      </c>
      <c r="L58" t="s">
        <v>27</v>
      </c>
      <c r="M58" t="s">
        <v>15</v>
      </c>
      <c r="N58">
        <f t="shared" si="0"/>
        <v>3723</v>
      </c>
      <c r="O58" t="str">
        <f t="shared" si="1"/>
        <v>Low</v>
      </c>
      <c r="P58" s="4">
        <f t="shared" si="2"/>
        <v>2.5785656728444802E-2</v>
      </c>
      <c r="Q58" t="str">
        <f t="shared" si="3"/>
        <v>Small</v>
      </c>
      <c r="R58" s="19">
        <f t="shared" si="4"/>
        <v>1</v>
      </c>
      <c r="S58" t="str">
        <f t="shared" si="5"/>
        <v>3</v>
      </c>
    </row>
    <row r="59" spans="1:19" x14ac:dyDescent="0.25">
      <c r="A59" t="s">
        <v>78</v>
      </c>
      <c r="B59" t="s">
        <v>11</v>
      </c>
      <c r="C59" t="s">
        <v>17</v>
      </c>
      <c r="D59">
        <v>0</v>
      </c>
      <c r="E59" t="s">
        <v>13</v>
      </c>
      <c r="F59" t="s">
        <v>12</v>
      </c>
      <c r="G59" s="3">
        <v>3366</v>
      </c>
      <c r="H59" s="3">
        <v>2200</v>
      </c>
      <c r="I59" s="3">
        <v>135</v>
      </c>
      <c r="J59">
        <v>360</v>
      </c>
      <c r="K59">
        <v>1</v>
      </c>
      <c r="L59" t="s">
        <v>18</v>
      </c>
      <c r="M59" t="s">
        <v>19</v>
      </c>
      <c r="N59">
        <f t="shared" si="0"/>
        <v>5566</v>
      </c>
      <c r="O59" t="str">
        <f t="shared" si="1"/>
        <v>Medium</v>
      </c>
      <c r="P59" s="4">
        <f t="shared" si="2"/>
        <v>2.4254401724757457E-2</v>
      </c>
      <c r="Q59" t="str">
        <f t="shared" si="3"/>
        <v>Medium</v>
      </c>
      <c r="R59" s="19">
        <f t="shared" si="4"/>
        <v>0</v>
      </c>
      <c r="S59" t="str">
        <f t="shared" si="5"/>
        <v>2</v>
      </c>
    </row>
    <row r="60" spans="1:19" x14ac:dyDescent="0.25">
      <c r="A60" t="s">
        <v>79</v>
      </c>
      <c r="B60" t="s">
        <v>11</v>
      </c>
      <c r="C60" t="s">
        <v>17</v>
      </c>
      <c r="D60">
        <v>1</v>
      </c>
      <c r="E60" t="s">
        <v>13</v>
      </c>
      <c r="F60" t="s">
        <v>12</v>
      </c>
      <c r="G60" s="3">
        <v>8080</v>
      </c>
      <c r="H60" s="3">
        <v>2250</v>
      </c>
      <c r="I60" s="3">
        <v>180</v>
      </c>
      <c r="J60">
        <v>360</v>
      </c>
      <c r="K60">
        <v>1</v>
      </c>
      <c r="L60" t="s">
        <v>14</v>
      </c>
      <c r="M60" t="s">
        <v>15</v>
      </c>
      <c r="N60">
        <f t="shared" si="0"/>
        <v>10330</v>
      </c>
      <c r="O60" t="str">
        <f t="shared" si="1"/>
        <v>High</v>
      </c>
      <c r="P60" s="4">
        <f t="shared" si="2"/>
        <v>1.7424975798644726E-2</v>
      </c>
      <c r="Q60" t="str">
        <f t="shared" si="3"/>
        <v>Medium</v>
      </c>
      <c r="R60" s="19">
        <f t="shared" si="4"/>
        <v>1</v>
      </c>
      <c r="S60" t="str">
        <f t="shared" si="5"/>
        <v>1</v>
      </c>
    </row>
    <row r="61" spans="1:19" x14ac:dyDescent="0.25">
      <c r="A61" t="s">
        <v>80</v>
      </c>
      <c r="B61" t="s">
        <v>11</v>
      </c>
      <c r="C61" t="s">
        <v>17</v>
      </c>
      <c r="D61">
        <v>2</v>
      </c>
      <c r="E61" t="s">
        <v>22</v>
      </c>
      <c r="F61" t="s">
        <v>12</v>
      </c>
      <c r="G61" s="3">
        <v>3357</v>
      </c>
      <c r="H61" s="3">
        <v>2859</v>
      </c>
      <c r="I61" s="3">
        <v>144</v>
      </c>
      <c r="J61">
        <v>360</v>
      </c>
      <c r="K61">
        <v>1</v>
      </c>
      <c r="L61" t="s">
        <v>14</v>
      </c>
      <c r="M61" t="s">
        <v>15</v>
      </c>
      <c r="N61">
        <f t="shared" si="0"/>
        <v>6216</v>
      </c>
      <c r="O61" t="str">
        <f t="shared" si="1"/>
        <v>Medium</v>
      </c>
      <c r="P61" s="4">
        <f t="shared" si="2"/>
        <v>2.3166023166023165E-2</v>
      </c>
      <c r="Q61" t="str">
        <f t="shared" si="3"/>
        <v>Medium</v>
      </c>
      <c r="R61" s="19">
        <f t="shared" si="4"/>
        <v>1</v>
      </c>
      <c r="S61" t="str">
        <f t="shared" si="5"/>
        <v>1</v>
      </c>
    </row>
    <row r="62" spans="1:19" x14ac:dyDescent="0.25">
      <c r="A62" t="s">
        <v>81</v>
      </c>
      <c r="B62" t="s">
        <v>11</v>
      </c>
      <c r="C62" t="s">
        <v>17</v>
      </c>
      <c r="D62">
        <v>0</v>
      </c>
      <c r="E62" t="s">
        <v>13</v>
      </c>
      <c r="F62" t="s">
        <v>12</v>
      </c>
      <c r="G62" s="3">
        <v>2500</v>
      </c>
      <c r="H62" s="3">
        <v>3796</v>
      </c>
      <c r="I62" s="3">
        <v>120</v>
      </c>
      <c r="J62">
        <v>360</v>
      </c>
      <c r="K62">
        <v>1</v>
      </c>
      <c r="L62" t="s">
        <v>14</v>
      </c>
      <c r="M62" t="s">
        <v>15</v>
      </c>
      <c r="N62">
        <f t="shared" si="0"/>
        <v>6296</v>
      </c>
      <c r="O62" t="str">
        <f t="shared" si="1"/>
        <v>Medium</v>
      </c>
      <c r="P62" s="4">
        <f t="shared" si="2"/>
        <v>1.9059720457433291E-2</v>
      </c>
      <c r="Q62" t="str">
        <f t="shared" si="3"/>
        <v>Medium</v>
      </c>
      <c r="R62" s="19">
        <f t="shared" si="4"/>
        <v>1</v>
      </c>
      <c r="S62" t="str">
        <f t="shared" si="5"/>
        <v>1</v>
      </c>
    </row>
    <row r="63" spans="1:19" x14ac:dyDescent="0.25">
      <c r="A63" t="s">
        <v>82</v>
      </c>
      <c r="B63" t="s">
        <v>11</v>
      </c>
      <c r="C63" t="s">
        <v>17</v>
      </c>
      <c r="D63">
        <v>3</v>
      </c>
      <c r="E63" t="s">
        <v>13</v>
      </c>
      <c r="F63" t="s">
        <v>12</v>
      </c>
      <c r="G63" s="3">
        <v>3029</v>
      </c>
      <c r="H63" s="3">
        <v>0</v>
      </c>
      <c r="I63" s="3">
        <v>99</v>
      </c>
      <c r="J63">
        <v>360</v>
      </c>
      <c r="K63">
        <v>1</v>
      </c>
      <c r="L63" t="s">
        <v>14</v>
      </c>
      <c r="M63" t="s">
        <v>15</v>
      </c>
      <c r="N63">
        <f t="shared" si="0"/>
        <v>3029</v>
      </c>
      <c r="O63" t="str">
        <f t="shared" si="1"/>
        <v>Low</v>
      </c>
      <c r="P63" s="4">
        <f t="shared" si="2"/>
        <v>3.2684054143281613E-2</v>
      </c>
      <c r="Q63" t="str">
        <f t="shared" si="3"/>
        <v>Small</v>
      </c>
      <c r="R63" s="19">
        <f t="shared" si="4"/>
        <v>1</v>
      </c>
      <c r="S63" t="str">
        <f t="shared" si="5"/>
        <v>1</v>
      </c>
    </row>
    <row r="64" spans="1:19" x14ac:dyDescent="0.25">
      <c r="A64" t="s">
        <v>83</v>
      </c>
      <c r="B64" t="s">
        <v>11</v>
      </c>
      <c r="C64" t="s">
        <v>17</v>
      </c>
      <c r="D64">
        <v>0</v>
      </c>
      <c r="E64" t="s">
        <v>22</v>
      </c>
      <c r="F64" t="s">
        <v>17</v>
      </c>
      <c r="G64" s="3">
        <v>2609</v>
      </c>
      <c r="H64" s="3">
        <v>3449</v>
      </c>
      <c r="I64" s="3">
        <v>165</v>
      </c>
      <c r="J64">
        <v>180</v>
      </c>
      <c r="K64">
        <v>0</v>
      </c>
      <c r="L64" t="s">
        <v>18</v>
      </c>
      <c r="M64" t="s">
        <v>19</v>
      </c>
      <c r="N64">
        <f t="shared" si="0"/>
        <v>6058</v>
      </c>
      <c r="O64" t="str">
        <f t="shared" si="1"/>
        <v>Medium</v>
      </c>
      <c r="P64" s="4">
        <f t="shared" si="2"/>
        <v>2.723671178606801E-2</v>
      </c>
      <c r="Q64" t="str">
        <f t="shared" si="3"/>
        <v>Medium</v>
      </c>
      <c r="R64" s="19">
        <f t="shared" si="4"/>
        <v>0</v>
      </c>
      <c r="S64" t="str">
        <f t="shared" si="5"/>
        <v>2</v>
      </c>
    </row>
    <row r="65" spans="1:19" x14ac:dyDescent="0.25">
      <c r="A65" t="s">
        <v>84</v>
      </c>
      <c r="B65" t="s">
        <v>11</v>
      </c>
      <c r="C65" t="s">
        <v>17</v>
      </c>
      <c r="D65">
        <v>1</v>
      </c>
      <c r="E65" t="s">
        <v>13</v>
      </c>
      <c r="F65" t="s">
        <v>12</v>
      </c>
      <c r="G65" s="3">
        <v>4945</v>
      </c>
      <c r="H65" s="3">
        <v>0</v>
      </c>
      <c r="I65" s="3">
        <v>0</v>
      </c>
      <c r="J65">
        <v>360</v>
      </c>
      <c r="K65">
        <v>0</v>
      </c>
      <c r="L65" t="s">
        <v>18</v>
      </c>
      <c r="M65" t="s">
        <v>19</v>
      </c>
      <c r="N65">
        <f t="shared" si="0"/>
        <v>4945</v>
      </c>
      <c r="O65" t="str">
        <f t="shared" si="1"/>
        <v>Medium</v>
      </c>
      <c r="P65" s="4">
        <f t="shared" si="2"/>
        <v>0</v>
      </c>
      <c r="Q65" t="str">
        <f t="shared" si="3"/>
        <v>Small</v>
      </c>
      <c r="R65" s="19">
        <f t="shared" si="4"/>
        <v>0</v>
      </c>
      <c r="S65" t="str">
        <f t="shared" si="5"/>
        <v>2</v>
      </c>
    </row>
    <row r="66" spans="1:19" x14ac:dyDescent="0.25">
      <c r="A66" t="s">
        <v>85</v>
      </c>
      <c r="B66" t="s">
        <v>38</v>
      </c>
      <c r="C66" t="s">
        <v>12</v>
      </c>
      <c r="D66">
        <v>0</v>
      </c>
      <c r="E66" t="s">
        <v>13</v>
      </c>
      <c r="F66" t="s">
        <v>12</v>
      </c>
      <c r="G66" s="3">
        <v>4166</v>
      </c>
      <c r="H66" s="3">
        <v>0</v>
      </c>
      <c r="I66" s="3">
        <v>116</v>
      </c>
      <c r="J66">
        <v>360</v>
      </c>
      <c r="K66">
        <v>0</v>
      </c>
      <c r="L66" t="s">
        <v>27</v>
      </c>
      <c r="M66" t="s">
        <v>19</v>
      </c>
      <c r="N66">
        <f t="shared" si="0"/>
        <v>4166</v>
      </c>
      <c r="O66" t="str">
        <f t="shared" si="1"/>
        <v>Medium</v>
      </c>
      <c r="P66" s="4">
        <f t="shared" si="2"/>
        <v>2.7844455112818051E-2</v>
      </c>
      <c r="Q66" t="str">
        <f t="shared" si="3"/>
        <v>Medium</v>
      </c>
      <c r="R66" s="19">
        <f t="shared" si="4"/>
        <v>0</v>
      </c>
      <c r="S66" t="str">
        <f t="shared" si="5"/>
        <v>3</v>
      </c>
    </row>
    <row r="67" spans="1:19" x14ac:dyDescent="0.25">
      <c r="A67" t="s">
        <v>86</v>
      </c>
      <c r="B67" t="s">
        <v>11</v>
      </c>
      <c r="C67" t="s">
        <v>17</v>
      </c>
      <c r="D67">
        <v>0</v>
      </c>
      <c r="E67" t="s">
        <v>13</v>
      </c>
      <c r="F67" t="s">
        <v>12</v>
      </c>
      <c r="G67" s="3">
        <v>5726</v>
      </c>
      <c r="H67" s="3">
        <v>4595</v>
      </c>
      <c r="I67" s="3">
        <v>258</v>
      </c>
      <c r="J67">
        <v>360</v>
      </c>
      <c r="K67">
        <v>1</v>
      </c>
      <c r="L67" t="s">
        <v>27</v>
      </c>
      <c r="M67" t="s">
        <v>19</v>
      </c>
      <c r="N67">
        <f t="shared" ref="N67:N130" si="6">G67+H67</f>
        <v>10321</v>
      </c>
      <c r="O67" t="str">
        <f t="shared" ref="O67:O130" si="7">IF(N67&lt;4000,"Low", IF(N67&lt;8000, "Medium", "High"))</f>
        <v>High</v>
      </c>
      <c r="P67" s="4">
        <f t="shared" ref="P67:P130" si="8">I67/N67</f>
        <v>2.4997577754093597E-2</v>
      </c>
      <c r="Q67" t="str">
        <f t="shared" ref="Q67:Q130" si="9">IF(I67&lt;100, "Small", IF(I67&lt;200, "Medium", "Large"))</f>
        <v>Large</v>
      </c>
      <c r="R67" s="19">
        <f t="shared" ref="R67:R130" si="10">IF(M67="Y", 1*1, 1*0)</f>
        <v>0</v>
      </c>
      <c r="S67" t="str">
        <f t="shared" ref="S67:S130" si="11">IF(L67="Urban","1", IF(L67="Rural", "2", IF(L67="Semiurban","3")))</f>
        <v>3</v>
      </c>
    </row>
    <row r="68" spans="1:19" x14ac:dyDescent="0.25">
      <c r="A68" t="s">
        <v>87</v>
      </c>
      <c r="B68" t="s">
        <v>11</v>
      </c>
      <c r="C68" t="s">
        <v>12</v>
      </c>
      <c r="D68">
        <v>0</v>
      </c>
      <c r="E68" t="s">
        <v>22</v>
      </c>
      <c r="F68" t="s">
        <v>12</v>
      </c>
      <c r="G68" s="3">
        <v>3200</v>
      </c>
      <c r="H68" s="3">
        <v>2254</v>
      </c>
      <c r="I68" s="3">
        <v>126</v>
      </c>
      <c r="J68">
        <v>180</v>
      </c>
      <c r="K68">
        <v>0</v>
      </c>
      <c r="L68" t="s">
        <v>14</v>
      </c>
      <c r="M68" t="s">
        <v>19</v>
      </c>
      <c r="N68">
        <f t="shared" si="6"/>
        <v>5454</v>
      </c>
      <c r="O68" t="str">
        <f t="shared" si="7"/>
        <v>Medium</v>
      </c>
      <c r="P68" s="4">
        <f t="shared" si="8"/>
        <v>2.3102310231023101E-2</v>
      </c>
      <c r="Q68" t="str">
        <f t="shared" si="9"/>
        <v>Medium</v>
      </c>
      <c r="R68" s="19">
        <f t="shared" si="10"/>
        <v>0</v>
      </c>
      <c r="S68" t="str">
        <f t="shared" si="11"/>
        <v>1</v>
      </c>
    </row>
    <row r="69" spans="1:19" x14ac:dyDescent="0.25">
      <c r="A69" t="s">
        <v>88</v>
      </c>
      <c r="B69" t="s">
        <v>11</v>
      </c>
      <c r="C69" t="s">
        <v>17</v>
      </c>
      <c r="D69">
        <v>1</v>
      </c>
      <c r="E69" t="s">
        <v>13</v>
      </c>
      <c r="F69" t="s">
        <v>12</v>
      </c>
      <c r="G69" s="3">
        <v>10750</v>
      </c>
      <c r="H69" s="3">
        <v>0</v>
      </c>
      <c r="I69" s="3">
        <v>312</v>
      </c>
      <c r="J69">
        <v>360</v>
      </c>
      <c r="K69">
        <v>1</v>
      </c>
      <c r="L69" t="s">
        <v>14</v>
      </c>
      <c r="M69" t="s">
        <v>15</v>
      </c>
      <c r="N69">
        <f t="shared" si="6"/>
        <v>10750</v>
      </c>
      <c r="O69" t="str">
        <f t="shared" si="7"/>
        <v>High</v>
      </c>
      <c r="P69" s="4">
        <f t="shared" si="8"/>
        <v>2.9023255813953489E-2</v>
      </c>
      <c r="Q69" t="str">
        <f t="shared" si="9"/>
        <v>Large</v>
      </c>
      <c r="R69" s="19">
        <f t="shared" si="10"/>
        <v>1</v>
      </c>
      <c r="S69" t="str">
        <f t="shared" si="11"/>
        <v>1</v>
      </c>
    </row>
    <row r="70" spans="1:19" x14ac:dyDescent="0.25">
      <c r="A70" t="s">
        <v>89</v>
      </c>
      <c r="B70" t="s">
        <v>11</v>
      </c>
      <c r="C70" t="s">
        <v>17</v>
      </c>
      <c r="D70">
        <v>3</v>
      </c>
      <c r="E70" t="s">
        <v>22</v>
      </c>
      <c r="F70" t="s">
        <v>17</v>
      </c>
      <c r="G70" s="3">
        <v>7100</v>
      </c>
      <c r="H70" s="3">
        <v>0</v>
      </c>
      <c r="I70" s="3">
        <v>125</v>
      </c>
      <c r="J70">
        <v>60</v>
      </c>
      <c r="K70">
        <v>1</v>
      </c>
      <c r="L70" t="s">
        <v>14</v>
      </c>
      <c r="M70" t="s">
        <v>15</v>
      </c>
      <c r="N70">
        <f t="shared" si="6"/>
        <v>7100</v>
      </c>
      <c r="O70" t="str">
        <f t="shared" si="7"/>
        <v>Medium</v>
      </c>
      <c r="P70" s="4">
        <f t="shared" si="8"/>
        <v>1.7605633802816902E-2</v>
      </c>
      <c r="Q70" t="str">
        <f t="shared" si="9"/>
        <v>Medium</v>
      </c>
      <c r="R70" s="19">
        <f t="shared" si="10"/>
        <v>1</v>
      </c>
      <c r="S70" t="str">
        <f t="shared" si="11"/>
        <v>1</v>
      </c>
    </row>
    <row r="71" spans="1:19" x14ac:dyDescent="0.25">
      <c r="A71" t="s">
        <v>90</v>
      </c>
      <c r="B71" t="s">
        <v>38</v>
      </c>
      <c r="C71" t="s">
        <v>12</v>
      </c>
      <c r="D71">
        <v>0</v>
      </c>
      <c r="E71" t="s">
        <v>13</v>
      </c>
      <c r="F71" t="s">
        <v>12</v>
      </c>
      <c r="G71" s="3">
        <v>4300</v>
      </c>
      <c r="H71" s="3">
        <v>0</v>
      </c>
      <c r="I71" s="3">
        <v>136</v>
      </c>
      <c r="J71">
        <v>360</v>
      </c>
      <c r="K71">
        <v>0</v>
      </c>
      <c r="L71" t="s">
        <v>27</v>
      </c>
      <c r="M71" t="s">
        <v>19</v>
      </c>
      <c r="N71">
        <f t="shared" si="6"/>
        <v>4300</v>
      </c>
      <c r="O71" t="str">
        <f t="shared" si="7"/>
        <v>Medium</v>
      </c>
      <c r="P71" s="4">
        <f t="shared" si="8"/>
        <v>3.1627906976744183E-2</v>
      </c>
      <c r="Q71" t="str">
        <f t="shared" si="9"/>
        <v>Medium</v>
      </c>
      <c r="R71" s="19">
        <f t="shared" si="10"/>
        <v>0</v>
      </c>
      <c r="S71" t="str">
        <f t="shared" si="11"/>
        <v>3</v>
      </c>
    </row>
    <row r="72" spans="1:19" x14ac:dyDescent="0.25">
      <c r="A72" t="s">
        <v>91</v>
      </c>
      <c r="B72" t="s">
        <v>11</v>
      </c>
      <c r="C72" t="s">
        <v>17</v>
      </c>
      <c r="D72">
        <v>0</v>
      </c>
      <c r="E72" t="s">
        <v>13</v>
      </c>
      <c r="F72" t="s">
        <v>12</v>
      </c>
      <c r="G72" s="3">
        <v>3208</v>
      </c>
      <c r="H72" s="3">
        <v>3066</v>
      </c>
      <c r="I72" s="3">
        <v>172</v>
      </c>
      <c r="J72">
        <v>360</v>
      </c>
      <c r="K72">
        <v>1</v>
      </c>
      <c r="L72" t="s">
        <v>14</v>
      </c>
      <c r="M72" t="s">
        <v>15</v>
      </c>
      <c r="N72">
        <f t="shared" si="6"/>
        <v>6274</v>
      </c>
      <c r="O72" t="str">
        <f t="shared" si="7"/>
        <v>Medium</v>
      </c>
      <c r="P72" s="4">
        <f t="shared" si="8"/>
        <v>2.7414727446605038E-2</v>
      </c>
      <c r="Q72" t="str">
        <f t="shared" si="9"/>
        <v>Medium</v>
      </c>
      <c r="R72" s="19">
        <f t="shared" si="10"/>
        <v>1</v>
      </c>
      <c r="S72" t="str">
        <f t="shared" si="11"/>
        <v>1</v>
      </c>
    </row>
    <row r="73" spans="1:19" x14ac:dyDescent="0.25">
      <c r="A73" t="s">
        <v>92</v>
      </c>
      <c r="B73" t="s">
        <v>11</v>
      </c>
      <c r="C73" t="s">
        <v>17</v>
      </c>
      <c r="D73">
        <v>2</v>
      </c>
      <c r="E73" t="s">
        <v>22</v>
      </c>
      <c r="F73" t="s">
        <v>17</v>
      </c>
      <c r="G73" s="3">
        <v>1875</v>
      </c>
      <c r="H73" s="3">
        <v>1875</v>
      </c>
      <c r="I73" s="3">
        <v>97</v>
      </c>
      <c r="J73">
        <v>360</v>
      </c>
      <c r="K73">
        <v>1</v>
      </c>
      <c r="L73" t="s">
        <v>27</v>
      </c>
      <c r="M73" t="s">
        <v>15</v>
      </c>
      <c r="N73">
        <f t="shared" si="6"/>
        <v>3750</v>
      </c>
      <c r="O73" t="str">
        <f t="shared" si="7"/>
        <v>Low</v>
      </c>
      <c r="P73" s="4">
        <f t="shared" si="8"/>
        <v>2.5866666666666666E-2</v>
      </c>
      <c r="Q73" t="str">
        <f t="shared" si="9"/>
        <v>Small</v>
      </c>
      <c r="R73" s="19">
        <f t="shared" si="10"/>
        <v>1</v>
      </c>
      <c r="S73" t="str">
        <f t="shared" si="11"/>
        <v>3</v>
      </c>
    </row>
    <row r="74" spans="1:19" x14ac:dyDescent="0.25">
      <c r="A74" t="s">
        <v>93</v>
      </c>
      <c r="B74" t="s">
        <v>11</v>
      </c>
      <c r="C74" t="s">
        <v>12</v>
      </c>
      <c r="D74">
        <v>0</v>
      </c>
      <c r="E74" t="s">
        <v>13</v>
      </c>
      <c r="F74" t="s">
        <v>12</v>
      </c>
      <c r="G74" s="3">
        <v>3500</v>
      </c>
      <c r="H74" s="3">
        <v>0</v>
      </c>
      <c r="I74" s="3">
        <v>81</v>
      </c>
      <c r="J74">
        <v>300</v>
      </c>
      <c r="K74">
        <v>1</v>
      </c>
      <c r="L74" t="s">
        <v>27</v>
      </c>
      <c r="M74" t="s">
        <v>15</v>
      </c>
      <c r="N74">
        <f t="shared" si="6"/>
        <v>3500</v>
      </c>
      <c r="O74" t="str">
        <f t="shared" si="7"/>
        <v>Low</v>
      </c>
      <c r="P74" s="4">
        <f t="shared" si="8"/>
        <v>2.3142857142857142E-2</v>
      </c>
      <c r="Q74" t="str">
        <f t="shared" si="9"/>
        <v>Small</v>
      </c>
      <c r="R74" s="19">
        <f t="shared" si="10"/>
        <v>1</v>
      </c>
      <c r="S74" t="str">
        <f t="shared" si="11"/>
        <v>3</v>
      </c>
    </row>
    <row r="75" spans="1:19" x14ac:dyDescent="0.25">
      <c r="A75" t="s">
        <v>94</v>
      </c>
      <c r="B75" t="s">
        <v>11</v>
      </c>
      <c r="C75" t="s">
        <v>17</v>
      </c>
      <c r="D75">
        <v>3</v>
      </c>
      <c r="E75" t="s">
        <v>22</v>
      </c>
      <c r="F75" t="s">
        <v>12</v>
      </c>
      <c r="G75" s="3">
        <v>4755</v>
      </c>
      <c r="H75" s="3">
        <v>0</v>
      </c>
      <c r="I75" s="3">
        <v>95</v>
      </c>
      <c r="J75">
        <v>360</v>
      </c>
      <c r="K75">
        <v>0</v>
      </c>
      <c r="L75" t="s">
        <v>27</v>
      </c>
      <c r="M75" t="s">
        <v>19</v>
      </c>
      <c r="N75">
        <f t="shared" si="6"/>
        <v>4755</v>
      </c>
      <c r="O75" t="str">
        <f t="shared" si="7"/>
        <v>Medium</v>
      </c>
      <c r="P75" s="4">
        <f t="shared" si="8"/>
        <v>1.9978969505783387E-2</v>
      </c>
      <c r="Q75" t="str">
        <f t="shared" si="9"/>
        <v>Small</v>
      </c>
      <c r="R75" s="19">
        <f t="shared" si="10"/>
        <v>0</v>
      </c>
      <c r="S75" t="str">
        <f t="shared" si="11"/>
        <v>3</v>
      </c>
    </row>
    <row r="76" spans="1:19" x14ac:dyDescent="0.25">
      <c r="A76" t="s">
        <v>95</v>
      </c>
      <c r="B76" t="s">
        <v>11</v>
      </c>
      <c r="C76" t="s">
        <v>17</v>
      </c>
      <c r="D76">
        <v>3</v>
      </c>
      <c r="E76" t="s">
        <v>13</v>
      </c>
      <c r="F76" t="s">
        <v>17</v>
      </c>
      <c r="G76" s="3">
        <v>5266</v>
      </c>
      <c r="H76" s="3">
        <v>1774</v>
      </c>
      <c r="I76" s="3">
        <v>187</v>
      </c>
      <c r="J76">
        <v>360</v>
      </c>
      <c r="K76">
        <v>1</v>
      </c>
      <c r="L76" t="s">
        <v>27</v>
      </c>
      <c r="M76" t="s">
        <v>15</v>
      </c>
      <c r="N76">
        <f t="shared" si="6"/>
        <v>7040</v>
      </c>
      <c r="O76" t="str">
        <f t="shared" si="7"/>
        <v>Medium</v>
      </c>
      <c r="P76" s="4">
        <f t="shared" si="8"/>
        <v>2.6562499999999999E-2</v>
      </c>
      <c r="Q76" t="str">
        <f t="shared" si="9"/>
        <v>Medium</v>
      </c>
      <c r="R76" s="19">
        <f t="shared" si="10"/>
        <v>1</v>
      </c>
      <c r="S76" t="str">
        <f t="shared" si="11"/>
        <v>3</v>
      </c>
    </row>
    <row r="77" spans="1:19" x14ac:dyDescent="0.25">
      <c r="A77" t="s">
        <v>96</v>
      </c>
      <c r="B77" t="s">
        <v>11</v>
      </c>
      <c r="C77" t="s">
        <v>12</v>
      </c>
      <c r="D77">
        <v>0</v>
      </c>
      <c r="E77" t="s">
        <v>13</v>
      </c>
      <c r="F77" t="s">
        <v>12</v>
      </c>
      <c r="G77" s="3">
        <v>3750</v>
      </c>
      <c r="H77" s="3">
        <v>0</v>
      </c>
      <c r="I77" s="3">
        <v>113</v>
      </c>
      <c r="J77">
        <v>480</v>
      </c>
      <c r="K77">
        <v>1</v>
      </c>
      <c r="L77" t="s">
        <v>14</v>
      </c>
      <c r="M77" t="s">
        <v>19</v>
      </c>
      <c r="N77">
        <f t="shared" si="6"/>
        <v>3750</v>
      </c>
      <c r="O77" t="str">
        <f t="shared" si="7"/>
        <v>Low</v>
      </c>
      <c r="P77" s="4">
        <f t="shared" si="8"/>
        <v>3.0133333333333335E-2</v>
      </c>
      <c r="Q77" t="str">
        <f t="shared" si="9"/>
        <v>Medium</v>
      </c>
      <c r="R77" s="19">
        <f t="shared" si="10"/>
        <v>0</v>
      </c>
      <c r="S77" t="str">
        <f t="shared" si="11"/>
        <v>1</v>
      </c>
    </row>
    <row r="78" spans="1:19" x14ac:dyDescent="0.25">
      <c r="A78" t="s">
        <v>97</v>
      </c>
      <c r="B78" t="s">
        <v>11</v>
      </c>
      <c r="C78" t="s">
        <v>12</v>
      </c>
      <c r="D78">
        <v>0</v>
      </c>
      <c r="E78" t="s">
        <v>13</v>
      </c>
      <c r="F78" t="s">
        <v>12</v>
      </c>
      <c r="G78" s="3">
        <v>3750</v>
      </c>
      <c r="H78" s="3">
        <v>4750</v>
      </c>
      <c r="I78" s="3">
        <v>176</v>
      </c>
      <c r="J78">
        <v>360</v>
      </c>
      <c r="K78">
        <v>1</v>
      </c>
      <c r="L78" t="s">
        <v>14</v>
      </c>
      <c r="M78" t="s">
        <v>19</v>
      </c>
      <c r="N78">
        <f t="shared" si="6"/>
        <v>8500</v>
      </c>
      <c r="O78" t="str">
        <f t="shared" si="7"/>
        <v>High</v>
      </c>
      <c r="P78" s="4">
        <f t="shared" si="8"/>
        <v>2.0705882352941178E-2</v>
      </c>
      <c r="Q78" t="str">
        <f t="shared" si="9"/>
        <v>Medium</v>
      </c>
      <c r="R78" s="19">
        <f t="shared" si="10"/>
        <v>0</v>
      </c>
      <c r="S78" t="str">
        <f t="shared" si="11"/>
        <v>1</v>
      </c>
    </row>
    <row r="79" spans="1:19" x14ac:dyDescent="0.25">
      <c r="A79" t="s">
        <v>98</v>
      </c>
      <c r="B79" t="s">
        <v>11</v>
      </c>
      <c r="C79" t="s">
        <v>17</v>
      </c>
      <c r="D79">
        <v>1</v>
      </c>
      <c r="E79" t="s">
        <v>13</v>
      </c>
      <c r="F79" t="s">
        <v>17</v>
      </c>
      <c r="G79" s="3">
        <v>1000</v>
      </c>
      <c r="H79" s="3">
        <v>3022</v>
      </c>
      <c r="I79" s="3">
        <v>110</v>
      </c>
      <c r="J79">
        <v>360</v>
      </c>
      <c r="K79">
        <v>1</v>
      </c>
      <c r="L79" t="s">
        <v>14</v>
      </c>
      <c r="M79" t="s">
        <v>19</v>
      </c>
      <c r="N79">
        <f t="shared" si="6"/>
        <v>4022</v>
      </c>
      <c r="O79" t="str">
        <f t="shared" si="7"/>
        <v>Medium</v>
      </c>
      <c r="P79" s="4">
        <f t="shared" si="8"/>
        <v>2.7349577324714072E-2</v>
      </c>
      <c r="Q79" t="str">
        <f t="shared" si="9"/>
        <v>Medium</v>
      </c>
      <c r="R79" s="19">
        <f t="shared" si="10"/>
        <v>0</v>
      </c>
      <c r="S79" t="str">
        <f t="shared" si="11"/>
        <v>1</v>
      </c>
    </row>
    <row r="80" spans="1:19" x14ac:dyDescent="0.25">
      <c r="A80" t="s">
        <v>99</v>
      </c>
      <c r="B80" t="s">
        <v>11</v>
      </c>
      <c r="C80" t="s">
        <v>17</v>
      </c>
      <c r="D80">
        <v>3</v>
      </c>
      <c r="E80" t="s">
        <v>13</v>
      </c>
      <c r="F80" t="s">
        <v>12</v>
      </c>
      <c r="G80" s="3">
        <v>3167</v>
      </c>
      <c r="H80" s="3">
        <v>4000</v>
      </c>
      <c r="I80" s="3">
        <v>180</v>
      </c>
      <c r="J80">
        <v>300</v>
      </c>
      <c r="K80">
        <v>0</v>
      </c>
      <c r="L80" t="s">
        <v>27</v>
      </c>
      <c r="M80" t="s">
        <v>19</v>
      </c>
      <c r="N80">
        <f t="shared" si="6"/>
        <v>7167</v>
      </c>
      <c r="O80" t="str">
        <f t="shared" si="7"/>
        <v>Medium</v>
      </c>
      <c r="P80" s="4">
        <f t="shared" si="8"/>
        <v>2.5115110925073254E-2</v>
      </c>
      <c r="Q80" t="str">
        <f t="shared" si="9"/>
        <v>Medium</v>
      </c>
      <c r="R80" s="19">
        <f t="shared" si="10"/>
        <v>0</v>
      </c>
      <c r="S80" t="str">
        <f t="shared" si="11"/>
        <v>3</v>
      </c>
    </row>
    <row r="81" spans="1:19" x14ac:dyDescent="0.25">
      <c r="A81" t="s">
        <v>100</v>
      </c>
      <c r="B81" t="s">
        <v>11</v>
      </c>
      <c r="C81" t="s">
        <v>17</v>
      </c>
      <c r="D81">
        <v>3</v>
      </c>
      <c r="E81" t="s">
        <v>22</v>
      </c>
      <c r="F81" t="s">
        <v>17</v>
      </c>
      <c r="G81" s="3">
        <v>3333</v>
      </c>
      <c r="H81" s="3">
        <v>2166</v>
      </c>
      <c r="I81" s="3">
        <v>130</v>
      </c>
      <c r="J81">
        <v>360</v>
      </c>
      <c r="K81">
        <v>1</v>
      </c>
      <c r="L81" t="s">
        <v>27</v>
      </c>
      <c r="M81" t="s">
        <v>15</v>
      </c>
      <c r="N81">
        <f t="shared" si="6"/>
        <v>5499</v>
      </c>
      <c r="O81" t="str">
        <f t="shared" si="7"/>
        <v>Medium</v>
      </c>
      <c r="P81" s="4">
        <f t="shared" si="8"/>
        <v>2.3640661938534278E-2</v>
      </c>
      <c r="Q81" t="str">
        <f t="shared" si="9"/>
        <v>Medium</v>
      </c>
      <c r="R81" s="19">
        <f t="shared" si="10"/>
        <v>1</v>
      </c>
      <c r="S81" t="str">
        <f t="shared" si="11"/>
        <v>3</v>
      </c>
    </row>
    <row r="82" spans="1:19" x14ac:dyDescent="0.25">
      <c r="A82" t="s">
        <v>101</v>
      </c>
      <c r="B82" t="s">
        <v>38</v>
      </c>
      <c r="C82" t="s">
        <v>12</v>
      </c>
      <c r="D82">
        <v>0</v>
      </c>
      <c r="E82" t="s">
        <v>13</v>
      </c>
      <c r="F82" t="s">
        <v>12</v>
      </c>
      <c r="G82" s="3">
        <v>3846</v>
      </c>
      <c r="H82" s="3">
        <v>0</v>
      </c>
      <c r="I82" s="3">
        <v>111</v>
      </c>
      <c r="J82">
        <v>360</v>
      </c>
      <c r="K82">
        <v>1</v>
      </c>
      <c r="L82" t="s">
        <v>27</v>
      </c>
      <c r="M82" t="s">
        <v>15</v>
      </c>
      <c r="N82">
        <f t="shared" si="6"/>
        <v>3846</v>
      </c>
      <c r="O82" t="str">
        <f t="shared" si="7"/>
        <v>Low</v>
      </c>
      <c r="P82" s="4">
        <f t="shared" si="8"/>
        <v>2.8861154446177848E-2</v>
      </c>
      <c r="Q82" t="str">
        <f t="shared" si="9"/>
        <v>Medium</v>
      </c>
      <c r="R82" s="19">
        <f t="shared" si="10"/>
        <v>1</v>
      </c>
      <c r="S82" t="str">
        <f t="shared" si="11"/>
        <v>3</v>
      </c>
    </row>
    <row r="83" spans="1:19" x14ac:dyDescent="0.25">
      <c r="A83" t="s">
        <v>102</v>
      </c>
      <c r="B83" t="s">
        <v>11</v>
      </c>
      <c r="C83" t="s">
        <v>17</v>
      </c>
      <c r="D83">
        <v>1</v>
      </c>
      <c r="E83" t="s">
        <v>13</v>
      </c>
      <c r="F83" t="s">
        <v>17</v>
      </c>
      <c r="G83" s="3">
        <v>2395</v>
      </c>
      <c r="H83" s="3">
        <v>0</v>
      </c>
      <c r="I83" s="3">
        <v>0</v>
      </c>
      <c r="J83">
        <v>360</v>
      </c>
      <c r="K83">
        <v>1</v>
      </c>
      <c r="L83" t="s">
        <v>27</v>
      </c>
      <c r="M83" t="s">
        <v>15</v>
      </c>
      <c r="N83">
        <f t="shared" si="6"/>
        <v>2395</v>
      </c>
      <c r="O83" t="str">
        <f t="shared" si="7"/>
        <v>Low</v>
      </c>
      <c r="P83" s="4">
        <f t="shared" si="8"/>
        <v>0</v>
      </c>
      <c r="Q83" t="str">
        <f t="shared" si="9"/>
        <v>Small</v>
      </c>
      <c r="R83" s="19">
        <f t="shared" si="10"/>
        <v>1</v>
      </c>
      <c r="S83" t="str">
        <f t="shared" si="11"/>
        <v>3</v>
      </c>
    </row>
    <row r="84" spans="1:19" x14ac:dyDescent="0.25">
      <c r="A84" t="s">
        <v>103</v>
      </c>
      <c r="B84" t="s">
        <v>38</v>
      </c>
      <c r="C84" t="s">
        <v>17</v>
      </c>
      <c r="D84">
        <v>2</v>
      </c>
      <c r="E84" t="s">
        <v>13</v>
      </c>
      <c r="F84" t="s">
        <v>12</v>
      </c>
      <c r="G84" s="3">
        <v>1378</v>
      </c>
      <c r="H84" s="3">
        <v>1881</v>
      </c>
      <c r="I84" s="3">
        <v>167</v>
      </c>
      <c r="J84">
        <v>360</v>
      </c>
      <c r="K84">
        <v>1</v>
      </c>
      <c r="L84" t="s">
        <v>14</v>
      </c>
      <c r="M84" t="s">
        <v>19</v>
      </c>
      <c r="N84">
        <f t="shared" si="6"/>
        <v>3259</v>
      </c>
      <c r="O84" t="str">
        <f t="shared" si="7"/>
        <v>Low</v>
      </c>
      <c r="P84" s="4">
        <f t="shared" si="8"/>
        <v>5.1242712488493401E-2</v>
      </c>
      <c r="Q84" t="str">
        <f t="shared" si="9"/>
        <v>Medium</v>
      </c>
      <c r="R84" s="19">
        <f t="shared" si="10"/>
        <v>0</v>
      </c>
      <c r="S84" t="str">
        <f t="shared" si="11"/>
        <v>1</v>
      </c>
    </row>
    <row r="85" spans="1:19" x14ac:dyDescent="0.25">
      <c r="A85" t="s">
        <v>104</v>
      </c>
      <c r="B85" t="s">
        <v>11</v>
      </c>
      <c r="C85" t="s">
        <v>17</v>
      </c>
      <c r="D85">
        <v>0</v>
      </c>
      <c r="E85" t="s">
        <v>13</v>
      </c>
      <c r="F85" t="s">
        <v>12</v>
      </c>
      <c r="G85" s="3">
        <v>6000</v>
      </c>
      <c r="H85" s="3">
        <v>2250</v>
      </c>
      <c r="I85" s="3">
        <v>265</v>
      </c>
      <c r="J85">
        <v>360</v>
      </c>
      <c r="K85">
        <v>1</v>
      </c>
      <c r="L85" t="s">
        <v>27</v>
      </c>
      <c r="M85" t="s">
        <v>19</v>
      </c>
      <c r="N85">
        <f t="shared" si="6"/>
        <v>8250</v>
      </c>
      <c r="O85" t="str">
        <f t="shared" si="7"/>
        <v>High</v>
      </c>
      <c r="P85" s="4">
        <f t="shared" si="8"/>
        <v>3.212121212121212E-2</v>
      </c>
      <c r="Q85" t="str">
        <f t="shared" si="9"/>
        <v>Large</v>
      </c>
      <c r="R85" s="19">
        <f t="shared" si="10"/>
        <v>0</v>
      </c>
      <c r="S85" t="str">
        <f t="shared" si="11"/>
        <v>3</v>
      </c>
    </row>
    <row r="86" spans="1:19" x14ac:dyDescent="0.25">
      <c r="A86" t="s">
        <v>105</v>
      </c>
      <c r="B86" t="s">
        <v>11</v>
      </c>
      <c r="C86" t="s">
        <v>17</v>
      </c>
      <c r="D86">
        <v>1</v>
      </c>
      <c r="E86" t="s">
        <v>13</v>
      </c>
      <c r="F86" t="s">
        <v>12</v>
      </c>
      <c r="G86" s="3">
        <v>3988</v>
      </c>
      <c r="H86" s="3">
        <v>0</v>
      </c>
      <c r="I86" s="3">
        <v>50</v>
      </c>
      <c r="J86">
        <v>240</v>
      </c>
      <c r="K86">
        <v>1</v>
      </c>
      <c r="L86" t="s">
        <v>14</v>
      </c>
      <c r="M86" t="s">
        <v>15</v>
      </c>
      <c r="N86">
        <f t="shared" si="6"/>
        <v>3988</v>
      </c>
      <c r="O86" t="str">
        <f t="shared" si="7"/>
        <v>Low</v>
      </c>
      <c r="P86" s="4">
        <f t="shared" si="8"/>
        <v>1.2537612838515547E-2</v>
      </c>
      <c r="Q86" t="str">
        <f t="shared" si="9"/>
        <v>Small</v>
      </c>
      <c r="R86" s="19">
        <f t="shared" si="10"/>
        <v>1</v>
      </c>
      <c r="S86" t="str">
        <f t="shared" si="11"/>
        <v>1</v>
      </c>
    </row>
    <row r="87" spans="1:19" x14ac:dyDescent="0.25">
      <c r="A87" t="s">
        <v>106</v>
      </c>
      <c r="B87" t="s">
        <v>11</v>
      </c>
      <c r="C87" t="s">
        <v>12</v>
      </c>
      <c r="D87">
        <v>0</v>
      </c>
      <c r="E87" t="s">
        <v>13</v>
      </c>
      <c r="F87" t="s">
        <v>12</v>
      </c>
      <c r="G87" s="3">
        <v>2366</v>
      </c>
      <c r="H87" s="3">
        <v>2531</v>
      </c>
      <c r="I87" s="3">
        <v>136</v>
      </c>
      <c r="J87">
        <v>360</v>
      </c>
      <c r="K87">
        <v>1</v>
      </c>
      <c r="L87" t="s">
        <v>27</v>
      </c>
      <c r="M87" t="s">
        <v>15</v>
      </c>
      <c r="N87">
        <f t="shared" si="6"/>
        <v>4897</v>
      </c>
      <c r="O87" t="str">
        <f t="shared" si="7"/>
        <v>Medium</v>
      </c>
      <c r="P87" s="4">
        <f t="shared" si="8"/>
        <v>2.7772105370635083E-2</v>
      </c>
      <c r="Q87" t="str">
        <f t="shared" si="9"/>
        <v>Medium</v>
      </c>
      <c r="R87" s="19">
        <f t="shared" si="10"/>
        <v>1</v>
      </c>
      <c r="S87" t="str">
        <f t="shared" si="11"/>
        <v>3</v>
      </c>
    </row>
    <row r="88" spans="1:19" x14ac:dyDescent="0.25">
      <c r="A88" t="s">
        <v>107</v>
      </c>
      <c r="B88" t="s">
        <v>11</v>
      </c>
      <c r="C88" t="s">
        <v>17</v>
      </c>
      <c r="D88">
        <v>2</v>
      </c>
      <c r="E88" t="s">
        <v>22</v>
      </c>
      <c r="F88" t="s">
        <v>12</v>
      </c>
      <c r="G88" s="3">
        <v>3333</v>
      </c>
      <c r="H88" s="3">
        <v>2000</v>
      </c>
      <c r="I88" s="3">
        <v>99</v>
      </c>
      <c r="J88">
        <v>360</v>
      </c>
      <c r="K88">
        <v>0</v>
      </c>
      <c r="L88" t="s">
        <v>27</v>
      </c>
      <c r="M88" t="s">
        <v>15</v>
      </c>
      <c r="N88">
        <f t="shared" si="6"/>
        <v>5333</v>
      </c>
      <c r="O88" t="str">
        <f t="shared" si="7"/>
        <v>Medium</v>
      </c>
      <c r="P88" s="4">
        <f t="shared" si="8"/>
        <v>1.8563660228764298E-2</v>
      </c>
      <c r="Q88" t="str">
        <f t="shared" si="9"/>
        <v>Small</v>
      </c>
      <c r="R88" s="19">
        <f t="shared" si="10"/>
        <v>1</v>
      </c>
      <c r="S88" t="str">
        <f t="shared" si="11"/>
        <v>3</v>
      </c>
    </row>
    <row r="89" spans="1:19" x14ac:dyDescent="0.25">
      <c r="A89" t="s">
        <v>108</v>
      </c>
      <c r="B89" t="s">
        <v>11</v>
      </c>
      <c r="C89" t="s">
        <v>17</v>
      </c>
      <c r="D89">
        <v>0</v>
      </c>
      <c r="E89" t="s">
        <v>13</v>
      </c>
      <c r="F89" t="s">
        <v>12</v>
      </c>
      <c r="G89" s="3">
        <v>2500</v>
      </c>
      <c r="H89" s="3">
        <v>2118</v>
      </c>
      <c r="I89" s="3">
        <v>104</v>
      </c>
      <c r="J89">
        <v>360</v>
      </c>
      <c r="K89">
        <v>1</v>
      </c>
      <c r="L89" t="s">
        <v>27</v>
      </c>
      <c r="M89" t="s">
        <v>15</v>
      </c>
      <c r="N89">
        <f t="shared" si="6"/>
        <v>4618</v>
      </c>
      <c r="O89" t="str">
        <f t="shared" si="7"/>
        <v>Medium</v>
      </c>
      <c r="P89" s="4">
        <f t="shared" si="8"/>
        <v>2.252057167605024E-2</v>
      </c>
      <c r="Q89" t="str">
        <f t="shared" si="9"/>
        <v>Medium</v>
      </c>
      <c r="R89" s="19">
        <f t="shared" si="10"/>
        <v>1</v>
      </c>
      <c r="S89" t="str">
        <f t="shared" si="11"/>
        <v>3</v>
      </c>
    </row>
    <row r="90" spans="1:19" x14ac:dyDescent="0.25">
      <c r="A90" t="s">
        <v>109</v>
      </c>
      <c r="B90" t="s">
        <v>11</v>
      </c>
      <c r="C90" t="s">
        <v>12</v>
      </c>
      <c r="D90">
        <v>0</v>
      </c>
      <c r="E90" t="s">
        <v>13</v>
      </c>
      <c r="F90" t="s">
        <v>12</v>
      </c>
      <c r="G90" s="3">
        <v>8566</v>
      </c>
      <c r="H90" s="3">
        <v>0</v>
      </c>
      <c r="I90" s="3">
        <v>210</v>
      </c>
      <c r="J90">
        <v>360</v>
      </c>
      <c r="K90">
        <v>1</v>
      </c>
      <c r="L90" t="s">
        <v>14</v>
      </c>
      <c r="M90" t="s">
        <v>15</v>
      </c>
      <c r="N90">
        <f t="shared" si="6"/>
        <v>8566</v>
      </c>
      <c r="O90" t="str">
        <f t="shared" si="7"/>
        <v>High</v>
      </c>
      <c r="P90" s="4">
        <f t="shared" si="8"/>
        <v>2.4515526500116739E-2</v>
      </c>
      <c r="Q90" t="str">
        <f t="shared" si="9"/>
        <v>Large</v>
      </c>
      <c r="R90" s="19">
        <f t="shared" si="10"/>
        <v>1</v>
      </c>
      <c r="S90" t="str">
        <f t="shared" si="11"/>
        <v>1</v>
      </c>
    </row>
    <row r="91" spans="1:19" x14ac:dyDescent="0.25">
      <c r="A91" t="s">
        <v>110</v>
      </c>
      <c r="B91" t="s">
        <v>11</v>
      </c>
      <c r="C91" t="s">
        <v>17</v>
      </c>
      <c r="D91">
        <v>0</v>
      </c>
      <c r="E91" t="s">
        <v>13</v>
      </c>
      <c r="F91" t="s">
        <v>12</v>
      </c>
      <c r="G91" s="3">
        <v>5695</v>
      </c>
      <c r="H91" s="3">
        <v>4167</v>
      </c>
      <c r="I91" s="3">
        <v>175</v>
      </c>
      <c r="J91">
        <v>360</v>
      </c>
      <c r="K91">
        <v>1</v>
      </c>
      <c r="L91" t="s">
        <v>27</v>
      </c>
      <c r="M91" t="s">
        <v>15</v>
      </c>
      <c r="N91">
        <f t="shared" si="6"/>
        <v>9862</v>
      </c>
      <c r="O91" t="str">
        <f t="shared" si="7"/>
        <v>High</v>
      </c>
      <c r="P91" s="4">
        <f t="shared" si="8"/>
        <v>1.7744879334820524E-2</v>
      </c>
      <c r="Q91" t="str">
        <f t="shared" si="9"/>
        <v>Medium</v>
      </c>
      <c r="R91" s="19">
        <f t="shared" si="10"/>
        <v>1</v>
      </c>
      <c r="S91" t="str">
        <f t="shared" si="11"/>
        <v>3</v>
      </c>
    </row>
    <row r="92" spans="1:19" x14ac:dyDescent="0.25">
      <c r="A92" t="s">
        <v>111</v>
      </c>
      <c r="B92" t="s">
        <v>11</v>
      </c>
      <c r="C92" t="s">
        <v>17</v>
      </c>
      <c r="D92">
        <v>0</v>
      </c>
      <c r="E92" t="s">
        <v>13</v>
      </c>
      <c r="F92" t="s">
        <v>12</v>
      </c>
      <c r="G92" s="3">
        <v>2958</v>
      </c>
      <c r="H92" s="3">
        <v>2900</v>
      </c>
      <c r="I92" s="3">
        <v>131</v>
      </c>
      <c r="J92">
        <v>360</v>
      </c>
      <c r="K92">
        <v>1</v>
      </c>
      <c r="L92" t="s">
        <v>27</v>
      </c>
      <c r="M92" t="s">
        <v>15</v>
      </c>
      <c r="N92">
        <f t="shared" si="6"/>
        <v>5858</v>
      </c>
      <c r="O92" t="str">
        <f t="shared" si="7"/>
        <v>Medium</v>
      </c>
      <c r="P92" s="4">
        <f t="shared" si="8"/>
        <v>2.2362581085694777E-2</v>
      </c>
      <c r="Q92" t="str">
        <f t="shared" si="9"/>
        <v>Medium</v>
      </c>
      <c r="R92" s="19">
        <f t="shared" si="10"/>
        <v>1</v>
      </c>
      <c r="S92" t="str">
        <f t="shared" si="11"/>
        <v>3</v>
      </c>
    </row>
    <row r="93" spans="1:19" x14ac:dyDescent="0.25">
      <c r="A93" t="s">
        <v>112</v>
      </c>
      <c r="B93" t="s">
        <v>11</v>
      </c>
      <c r="C93" t="s">
        <v>17</v>
      </c>
      <c r="D93">
        <v>2</v>
      </c>
      <c r="E93" t="s">
        <v>13</v>
      </c>
      <c r="F93" t="s">
        <v>12</v>
      </c>
      <c r="G93" s="3">
        <v>6250</v>
      </c>
      <c r="H93" s="3">
        <v>5654</v>
      </c>
      <c r="I93" s="3">
        <v>188</v>
      </c>
      <c r="J93">
        <v>180</v>
      </c>
      <c r="K93">
        <v>1</v>
      </c>
      <c r="L93" t="s">
        <v>27</v>
      </c>
      <c r="M93" t="s">
        <v>15</v>
      </c>
      <c r="N93">
        <f t="shared" si="6"/>
        <v>11904</v>
      </c>
      <c r="O93" t="str">
        <f t="shared" si="7"/>
        <v>High</v>
      </c>
      <c r="P93" s="4">
        <f t="shared" si="8"/>
        <v>1.5793010752688172E-2</v>
      </c>
      <c r="Q93" t="str">
        <f t="shared" si="9"/>
        <v>Medium</v>
      </c>
      <c r="R93" s="19">
        <f t="shared" si="10"/>
        <v>1</v>
      </c>
      <c r="S93" t="str">
        <f t="shared" si="11"/>
        <v>3</v>
      </c>
    </row>
    <row r="94" spans="1:19" x14ac:dyDescent="0.25">
      <c r="A94" t="s">
        <v>113</v>
      </c>
      <c r="B94" t="s">
        <v>11</v>
      </c>
      <c r="C94" t="s">
        <v>17</v>
      </c>
      <c r="D94">
        <v>2</v>
      </c>
      <c r="E94" t="s">
        <v>22</v>
      </c>
      <c r="F94" t="s">
        <v>12</v>
      </c>
      <c r="G94" s="3">
        <v>3273</v>
      </c>
      <c r="H94" s="3">
        <v>1820</v>
      </c>
      <c r="I94" s="3">
        <v>81</v>
      </c>
      <c r="J94">
        <v>360</v>
      </c>
      <c r="K94">
        <v>1</v>
      </c>
      <c r="L94" t="s">
        <v>14</v>
      </c>
      <c r="M94" t="s">
        <v>15</v>
      </c>
      <c r="N94">
        <f t="shared" si="6"/>
        <v>5093</v>
      </c>
      <c r="O94" t="str">
        <f t="shared" si="7"/>
        <v>Medium</v>
      </c>
      <c r="P94" s="4">
        <f t="shared" si="8"/>
        <v>1.5904182210877676E-2</v>
      </c>
      <c r="Q94" t="str">
        <f t="shared" si="9"/>
        <v>Small</v>
      </c>
      <c r="R94" s="19">
        <f t="shared" si="10"/>
        <v>1</v>
      </c>
      <c r="S94" t="str">
        <f t="shared" si="11"/>
        <v>1</v>
      </c>
    </row>
    <row r="95" spans="1:19" x14ac:dyDescent="0.25">
      <c r="A95" t="s">
        <v>114</v>
      </c>
      <c r="B95" t="s">
        <v>11</v>
      </c>
      <c r="C95" t="s">
        <v>12</v>
      </c>
      <c r="D95">
        <v>0</v>
      </c>
      <c r="E95" t="s">
        <v>13</v>
      </c>
      <c r="F95" t="s">
        <v>12</v>
      </c>
      <c r="G95" s="3">
        <v>4133</v>
      </c>
      <c r="H95" s="3">
        <v>0</v>
      </c>
      <c r="I95" s="3">
        <v>122</v>
      </c>
      <c r="J95">
        <v>360</v>
      </c>
      <c r="K95">
        <v>1</v>
      </c>
      <c r="L95" t="s">
        <v>27</v>
      </c>
      <c r="M95" t="s">
        <v>15</v>
      </c>
      <c r="N95">
        <f t="shared" si="6"/>
        <v>4133</v>
      </c>
      <c r="O95" t="str">
        <f t="shared" si="7"/>
        <v>Medium</v>
      </c>
      <c r="P95" s="4">
        <f t="shared" si="8"/>
        <v>2.9518509557222357E-2</v>
      </c>
      <c r="Q95" t="str">
        <f t="shared" si="9"/>
        <v>Medium</v>
      </c>
      <c r="R95" s="19">
        <f t="shared" si="10"/>
        <v>1</v>
      </c>
      <c r="S95" t="str">
        <f t="shared" si="11"/>
        <v>3</v>
      </c>
    </row>
    <row r="96" spans="1:19" x14ac:dyDescent="0.25">
      <c r="A96" t="s">
        <v>115</v>
      </c>
      <c r="B96" t="s">
        <v>11</v>
      </c>
      <c r="C96" t="s">
        <v>12</v>
      </c>
      <c r="D96">
        <v>0</v>
      </c>
      <c r="E96" t="s">
        <v>22</v>
      </c>
      <c r="F96" t="s">
        <v>12</v>
      </c>
      <c r="G96" s="3">
        <v>3620</v>
      </c>
      <c r="H96" s="3">
        <v>0</v>
      </c>
      <c r="I96" s="3">
        <v>25</v>
      </c>
      <c r="J96">
        <v>120</v>
      </c>
      <c r="K96">
        <v>1</v>
      </c>
      <c r="L96" t="s">
        <v>27</v>
      </c>
      <c r="M96" t="s">
        <v>15</v>
      </c>
      <c r="N96">
        <f t="shared" si="6"/>
        <v>3620</v>
      </c>
      <c r="O96" t="str">
        <f t="shared" si="7"/>
        <v>Low</v>
      </c>
      <c r="P96" s="4">
        <f t="shared" si="8"/>
        <v>6.9060773480662981E-3</v>
      </c>
      <c r="Q96" t="str">
        <f t="shared" si="9"/>
        <v>Small</v>
      </c>
      <c r="R96" s="19">
        <f t="shared" si="10"/>
        <v>1</v>
      </c>
      <c r="S96" t="str">
        <f t="shared" si="11"/>
        <v>3</v>
      </c>
    </row>
    <row r="97" spans="1:19" x14ac:dyDescent="0.25">
      <c r="A97" t="s">
        <v>116</v>
      </c>
      <c r="B97" t="s">
        <v>11</v>
      </c>
      <c r="C97" t="s">
        <v>12</v>
      </c>
      <c r="D97">
        <v>0</v>
      </c>
      <c r="E97" t="s">
        <v>13</v>
      </c>
      <c r="F97" t="s">
        <v>12</v>
      </c>
      <c r="G97" s="3">
        <v>6782</v>
      </c>
      <c r="H97" s="3">
        <v>0</v>
      </c>
      <c r="I97" s="3">
        <v>0</v>
      </c>
      <c r="J97">
        <v>360</v>
      </c>
      <c r="K97">
        <v>1</v>
      </c>
      <c r="L97" t="s">
        <v>14</v>
      </c>
      <c r="M97" t="s">
        <v>19</v>
      </c>
      <c r="N97">
        <f t="shared" si="6"/>
        <v>6782</v>
      </c>
      <c r="O97" t="str">
        <f t="shared" si="7"/>
        <v>Medium</v>
      </c>
      <c r="P97" s="4">
        <f t="shared" si="8"/>
        <v>0</v>
      </c>
      <c r="Q97" t="str">
        <f t="shared" si="9"/>
        <v>Small</v>
      </c>
      <c r="R97" s="19">
        <f t="shared" si="10"/>
        <v>0</v>
      </c>
      <c r="S97" t="str">
        <f t="shared" si="11"/>
        <v>1</v>
      </c>
    </row>
    <row r="98" spans="1:19" x14ac:dyDescent="0.25">
      <c r="A98" t="s">
        <v>117</v>
      </c>
      <c r="B98" t="s">
        <v>38</v>
      </c>
      <c r="C98" t="s">
        <v>17</v>
      </c>
      <c r="D98">
        <v>0</v>
      </c>
      <c r="E98" t="s">
        <v>13</v>
      </c>
      <c r="F98" t="s">
        <v>12</v>
      </c>
      <c r="G98" s="3">
        <v>2484</v>
      </c>
      <c r="H98" s="3">
        <v>2302</v>
      </c>
      <c r="I98" s="3">
        <v>137</v>
      </c>
      <c r="J98">
        <v>360</v>
      </c>
      <c r="K98">
        <v>1</v>
      </c>
      <c r="L98" t="s">
        <v>27</v>
      </c>
      <c r="M98" t="s">
        <v>15</v>
      </c>
      <c r="N98">
        <f t="shared" si="6"/>
        <v>4786</v>
      </c>
      <c r="O98" t="str">
        <f t="shared" si="7"/>
        <v>Medium</v>
      </c>
      <c r="P98" s="4">
        <f t="shared" si="8"/>
        <v>2.8625156707062265E-2</v>
      </c>
      <c r="Q98" t="str">
        <f t="shared" si="9"/>
        <v>Medium</v>
      </c>
      <c r="R98" s="19">
        <f t="shared" si="10"/>
        <v>1</v>
      </c>
      <c r="S98" t="str">
        <f t="shared" si="11"/>
        <v>3</v>
      </c>
    </row>
    <row r="99" spans="1:19" x14ac:dyDescent="0.25">
      <c r="A99" t="s">
        <v>118</v>
      </c>
      <c r="B99" t="s">
        <v>11</v>
      </c>
      <c r="C99" t="s">
        <v>17</v>
      </c>
      <c r="D99">
        <v>0</v>
      </c>
      <c r="E99" t="s">
        <v>13</v>
      </c>
      <c r="F99" t="s">
        <v>12</v>
      </c>
      <c r="G99" s="3">
        <v>1977</v>
      </c>
      <c r="H99" s="3">
        <v>997</v>
      </c>
      <c r="I99" s="3">
        <v>50</v>
      </c>
      <c r="J99">
        <v>360</v>
      </c>
      <c r="K99">
        <v>1</v>
      </c>
      <c r="L99" t="s">
        <v>27</v>
      </c>
      <c r="M99" t="s">
        <v>15</v>
      </c>
      <c r="N99">
        <f t="shared" si="6"/>
        <v>2974</v>
      </c>
      <c r="O99" t="str">
        <f t="shared" si="7"/>
        <v>Low</v>
      </c>
      <c r="P99" s="4">
        <f t="shared" si="8"/>
        <v>1.6812373907195696E-2</v>
      </c>
      <c r="Q99" t="str">
        <f t="shared" si="9"/>
        <v>Small</v>
      </c>
      <c r="R99" s="19">
        <f t="shared" si="10"/>
        <v>1</v>
      </c>
      <c r="S99" t="str">
        <f t="shared" si="11"/>
        <v>3</v>
      </c>
    </row>
    <row r="100" spans="1:19" x14ac:dyDescent="0.25">
      <c r="A100" t="s">
        <v>119</v>
      </c>
      <c r="B100" t="s">
        <v>11</v>
      </c>
      <c r="C100" t="s">
        <v>17</v>
      </c>
      <c r="D100">
        <v>0</v>
      </c>
      <c r="E100" t="s">
        <v>22</v>
      </c>
      <c r="F100" t="s">
        <v>12</v>
      </c>
      <c r="G100" s="3">
        <v>4188</v>
      </c>
      <c r="H100" s="3">
        <v>0</v>
      </c>
      <c r="I100" s="3">
        <v>115</v>
      </c>
      <c r="J100">
        <v>180</v>
      </c>
      <c r="K100">
        <v>1</v>
      </c>
      <c r="L100" t="s">
        <v>27</v>
      </c>
      <c r="M100" t="s">
        <v>15</v>
      </c>
      <c r="N100">
        <f t="shared" si="6"/>
        <v>4188</v>
      </c>
      <c r="O100" t="str">
        <f t="shared" si="7"/>
        <v>Medium</v>
      </c>
      <c r="P100" s="4">
        <f t="shared" si="8"/>
        <v>2.7459407831900668E-2</v>
      </c>
      <c r="Q100" t="str">
        <f t="shared" si="9"/>
        <v>Medium</v>
      </c>
      <c r="R100" s="19">
        <f t="shared" si="10"/>
        <v>1</v>
      </c>
      <c r="S100" t="str">
        <f t="shared" si="11"/>
        <v>3</v>
      </c>
    </row>
    <row r="101" spans="1:19" x14ac:dyDescent="0.25">
      <c r="A101" t="s">
        <v>120</v>
      </c>
      <c r="B101" t="s">
        <v>11</v>
      </c>
      <c r="C101" t="s">
        <v>17</v>
      </c>
      <c r="D101">
        <v>0</v>
      </c>
      <c r="E101" t="s">
        <v>13</v>
      </c>
      <c r="F101" t="s">
        <v>12</v>
      </c>
      <c r="G101" s="3">
        <v>1759</v>
      </c>
      <c r="H101" s="3">
        <v>3541</v>
      </c>
      <c r="I101" s="3">
        <v>131</v>
      </c>
      <c r="J101">
        <v>360</v>
      </c>
      <c r="K101">
        <v>1</v>
      </c>
      <c r="L101" t="s">
        <v>27</v>
      </c>
      <c r="M101" t="s">
        <v>15</v>
      </c>
      <c r="N101">
        <f t="shared" si="6"/>
        <v>5300</v>
      </c>
      <c r="O101" t="str">
        <f t="shared" si="7"/>
        <v>Medium</v>
      </c>
      <c r="P101" s="4">
        <f t="shared" si="8"/>
        <v>2.4716981132075471E-2</v>
      </c>
      <c r="Q101" t="str">
        <f t="shared" si="9"/>
        <v>Medium</v>
      </c>
      <c r="R101" s="19">
        <f t="shared" si="10"/>
        <v>1</v>
      </c>
      <c r="S101" t="str">
        <f t="shared" si="11"/>
        <v>3</v>
      </c>
    </row>
    <row r="102" spans="1:19" x14ac:dyDescent="0.25">
      <c r="A102" t="s">
        <v>121</v>
      </c>
      <c r="B102" t="s">
        <v>11</v>
      </c>
      <c r="C102" t="s">
        <v>17</v>
      </c>
      <c r="D102">
        <v>2</v>
      </c>
      <c r="E102" t="s">
        <v>22</v>
      </c>
      <c r="F102" t="s">
        <v>12</v>
      </c>
      <c r="G102" s="3">
        <v>4288</v>
      </c>
      <c r="H102" s="3">
        <v>3263</v>
      </c>
      <c r="I102" s="3">
        <v>133</v>
      </c>
      <c r="J102">
        <v>180</v>
      </c>
      <c r="K102">
        <v>1</v>
      </c>
      <c r="L102" t="s">
        <v>14</v>
      </c>
      <c r="M102" t="s">
        <v>15</v>
      </c>
      <c r="N102">
        <f t="shared" si="6"/>
        <v>7551</v>
      </c>
      <c r="O102" t="str">
        <f t="shared" si="7"/>
        <v>Medium</v>
      </c>
      <c r="P102" s="4">
        <f t="shared" si="8"/>
        <v>1.761356111773275E-2</v>
      </c>
      <c r="Q102" t="str">
        <f t="shared" si="9"/>
        <v>Medium</v>
      </c>
      <c r="R102" s="19">
        <f t="shared" si="10"/>
        <v>1</v>
      </c>
      <c r="S102" t="str">
        <f t="shared" si="11"/>
        <v>1</v>
      </c>
    </row>
    <row r="103" spans="1:19" x14ac:dyDescent="0.25">
      <c r="A103" t="s">
        <v>122</v>
      </c>
      <c r="B103" t="s">
        <v>11</v>
      </c>
      <c r="C103" t="s">
        <v>12</v>
      </c>
      <c r="D103">
        <v>0</v>
      </c>
      <c r="E103" t="s">
        <v>13</v>
      </c>
      <c r="F103" t="s">
        <v>12</v>
      </c>
      <c r="G103" s="3">
        <v>4843</v>
      </c>
      <c r="H103" s="3">
        <v>3806</v>
      </c>
      <c r="I103" s="3">
        <v>151</v>
      </c>
      <c r="J103">
        <v>360</v>
      </c>
      <c r="K103">
        <v>1</v>
      </c>
      <c r="L103" t="s">
        <v>27</v>
      </c>
      <c r="M103" t="s">
        <v>15</v>
      </c>
      <c r="N103">
        <f t="shared" si="6"/>
        <v>8649</v>
      </c>
      <c r="O103" t="str">
        <f t="shared" si="7"/>
        <v>High</v>
      </c>
      <c r="P103" s="4">
        <f t="shared" si="8"/>
        <v>1.7458665741704245E-2</v>
      </c>
      <c r="Q103" t="str">
        <f t="shared" si="9"/>
        <v>Medium</v>
      </c>
      <c r="R103" s="19">
        <f t="shared" si="10"/>
        <v>1</v>
      </c>
      <c r="S103" t="str">
        <f t="shared" si="11"/>
        <v>3</v>
      </c>
    </row>
    <row r="104" spans="1:19" x14ac:dyDescent="0.25">
      <c r="A104" t="s">
        <v>123</v>
      </c>
      <c r="B104" t="s">
        <v>11</v>
      </c>
      <c r="C104" t="s">
        <v>17</v>
      </c>
      <c r="D104">
        <v>0</v>
      </c>
      <c r="E104" t="s">
        <v>13</v>
      </c>
      <c r="F104" t="s">
        <v>12</v>
      </c>
      <c r="G104" s="3">
        <v>13650</v>
      </c>
      <c r="H104" s="3">
        <v>0</v>
      </c>
      <c r="I104" s="3">
        <v>0</v>
      </c>
      <c r="J104">
        <v>360</v>
      </c>
      <c r="K104">
        <v>1</v>
      </c>
      <c r="L104" t="s">
        <v>14</v>
      </c>
      <c r="M104" t="s">
        <v>15</v>
      </c>
      <c r="N104">
        <f t="shared" si="6"/>
        <v>13650</v>
      </c>
      <c r="O104" t="str">
        <f t="shared" si="7"/>
        <v>High</v>
      </c>
      <c r="P104" s="4">
        <f t="shared" si="8"/>
        <v>0</v>
      </c>
      <c r="Q104" t="str">
        <f t="shared" si="9"/>
        <v>Small</v>
      </c>
      <c r="R104" s="19">
        <f t="shared" si="10"/>
        <v>1</v>
      </c>
      <c r="S104" t="str">
        <f t="shared" si="11"/>
        <v>1</v>
      </c>
    </row>
    <row r="105" spans="1:19" x14ac:dyDescent="0.25">
      <c r="A105" t="s">
        <v>124</v>
      </c>
      <c r="B105" t="s">
        <v>11</v>
      </c>
      <c r="C105" t="s">
        <v>17</v>
      </c>
      <c r="D105">
        <v>0</v>
      </c>
      <c r="E105" t="s">
        <v>13</v>
      </c>
      <c r="F105" t="s">
        <v>12</v>
      </c>
      <c r="G105" s="3">
        <v>4652</v>
      </c>
      <c r="H105" s="3">
        <v>3583</v>
      </c>
      <c r="I105" s="3">
        <v>0</v>
      </c>
      <c r="J105">
        <v>360</v>
      </c>
      <c r="K105">
        <v>1</v>
      </c>
      <c r="L105" t="s">
        <v>27</v>
      </c>
      <c r="M105" t="s">
        <v>15</v>
      </c>
      <c r="N105">
        <f t="shared" si="6"/>
        <v>8235</v>
      </c>
      <c r="O105" t="str">
        <f t="shared" si="7"/>
        <v>High</v>
      </c>
      <c r="P105" s="4">
        <f t="shared" si="8"/>
        <v>0</v>
      </c>
      <c r="Q105" t="str">
        <f t="shared" si="9"/>
        <v>Small</v>
      </c>
      <c r="R105" s="19">
        <f t="shared" si="10"/>
        <v>1</v>
      </c>
      <c r="S105" t="str">
        <f t="shared" si="11"/>
        <v>3</v>
      </c>
    </row>
    <row r="106" spans="1:19" x14ac:dyDescent="0.25">
      <c r="A106" t="s">
        <v>125</v>
      </c>
      <c r="B106" t="s">
        <v>11</v>
      </c>
      <c r="C106" t="s">
        <v>12</v>
      </c>
      <c r="D106">
        <v>0</v>
      </c>
      <c r="E106" t="s">
        <v>13</v>
      </c>
      <c r="F106" t="s">
        <v>12</v>
      </c>
      <c r="G106" s="3">
        <v>3816</v>
      </c>
      <c r="H106" s="3">
        <v>754</v>
      </c>
      <c r="I106" s="3">
        <v>160</v>
      </c>
      <c r="J106">
        <v>360</v>
      </c>
      <c r="K106">
        <v>1</v>
      </c>
      <c r="L106" t="s">
        <v>14</v>
      </c>
      <c r="M106" t="s">
        <v>15</v>
      </c>
      <c r="N106">
        <f t="shared" si="6"/>
        <v>4570</v>
      </c>
      <c r="O106" t="str">
        <f t="shared" si="7"/>
        <v>Medium</v>
      </c>
      <c r="P106" s="4">
        <f t="shared" si="8"/>
        <v>3.5010940919037198E-2</v>
      </c>
      <c r="Q106" t="str">
        <f t="shared" si="9"/>
        <v>Medium</v>
      </c>
      <c r="R106" s="19">
        <f t="shared" si="10"/>
        <v>1</v>
      </c>
      <c r="S106" t="str">
        <f t="shared" si="11"/>
        <v>1</v>
      </c>
    </row>
    <row r="107" spans="1:19" x14ac:dyDescent="0.25">
      <c r="A107" t="s">
        <v>126</v>
      </c>
      <c r="B107" t="s">
        <v>11</v>
      </c>
      <c r="C107" t="s">
        <v>17</v>
      </c>
      <c r="D107">
        <v>1</v>
      </c>
      <c r="E107" t="s">
        <v>13</v>
      </c>
      <c r="F107" t="s">
        <v>12</v>
      </c>
      <c r="G107" s="3">
        <v>3052</v>
      </c>
      <c r="H107" s="3">
        <v>1030</v>
      </c>
      <c r="I107" s="3">
        <v>100</v>
      </c>
      <c r="J107">
        <v>360</v>
      </c>
      <c r="K107">
        <v>1</v>
      </c>
      <c r="L107" t="s">
        <v>14</v>
      </c>
      <c r="M107" t="s">
        <v>15</v>
      </c>
      <c r="N107">
        <f t="shared" si="6"/>
        <v>4082</v>
      </c>
      <c r="O107" t="str">
        <f t="shared" si="7"/>
        <v>Medium</v>
      </c>
      <c r="P107" s="4">
        <f t="shared" si="8"/>
        <v>2.4497795198432142E-2</v>
      </c>
      <c r="Q107" t="str">
        <f t="shared" si="9"/>
        <v>Medium</v>
      </c>
      <c r="R107" s="19">
        <f t="shared" si="10"/>
        <v>1</v>
      </c>
      <c r="S107" t="str">
        <f t="shared" si="11"/>
        <v>1</v>
      </c>
    </row>
    <row r="108" spans="1:19" x14ac:dyDescent="0.25">
      <c r="A108" t="s">
        <v>127</v>
      </c>
      <c r="B108" t="s">
        <v>11</v>
      </c>
      <c r="C108" t="s">
        <v>17</v>
      </c>
      <c r="D108">
        <v>2</v>
      </c>
      <c r="E108" t="s">
        <v>13</v>
      </c>
      <c r="F108" t="s">
        <v>12</v>
      </c>
      <c r="G108" s="3">
        <v>11417</v>
      </c>
      <c r="H108" s="3">
        <v>1126</v>
      </c>
      <c r="I108" s="3">
        <v>225</v>
      </c>
      <c r="J108">
        <v>360</v>
      </c>
      <c r="K108">
        <v>1</v>
      </c>
      <c r="L108" t="s">
        <v>14</v>
      </c>
      <c r="M108" t="s">
        <v>15</v>
      </c>
      <c r="N108">
        <f t="shared" si="6"/>
        <v>12543</v>
      </c>
      <c r="O108" t="str">
        <f t="shared" si="7"/>
        <v>High</v>
      </c>
      <c r="P108" s="4">
        <f t="shared" si="8"/>
        <v>1.7938292274575461E-2</v>
      </c>
      <c r="Q108" t="str">
        <f t="shared" si="9"/>
        <v>Large</v>
      </c>
      <c r="R108" s="19">
        <f t="shared" si="10"/>
        <v>1</v>
      </c>
      <c r="S108" t="str">
        <f t="shared" si="11"/>
        <v>1</v>
      </c>
    </row>
    <row r="109" spans="1:19" x14ac:dyDescent="0.25">
      <c r="A109" t="s">
        <v>128</v>
      </c>
      <c r="B109" t="s">
        <v>11</v>
      </c>
      <c r="C109" t="s">
        <v>12</v>
      </c>
      <c r="D109">
        <v>0</v>
      </c>
      <c r="E109" t="s">
        <v>22</v>
      </c>
      <c r="F109" t="s">
        <v>12</v>
      </c>
      <c r="G109" s="3">
        <v>7333</v>
      </c>
      <c r="H109" s="3">
        <v>0</v>
      </c>
      <c r="I109" s="3">
        <v>120</v>
      </c>
      <c r="J109">
        <v>360</v>
      </c>
      <c r="K109">
        <v>1</v>
      </c>
      <c r="L109" t="s">
        <v>18</v>
      </c>
      <c r="M109" t="s">
        <v>19</v>
      </c>
      <c r="N109">
        <f t="shared" si="6"/>
        <v>7333</v>
      </c>
      <c r="O109" t="str">
        <f t="shared" si="7"/>
        <v>Medium</v>
      </c>
      <c r="P109" s="4">
        <f t="shared" si="8"/>
        <v>1.636438019909996E-2</v>
      </c>
      <c r="Q109" t="str">
        <f t="shared" si="9"/>
        <v>Medium</v>
      </c>
      <c r="R109" s="19">
        <f t="shared" si="10"/>
        <v>0</v>
      </c>
      <c r="S109" t="str">
        <f t="shared" si="11"/>
        <v>2</v>
      </c>
    </row>
    <row r="110" spans="1:19" x14ac:dyDescent="0.25">
      <c r="A110" t="s">
        <v>129</v>
      </c>
      <c r="B110" t="s">
        <v>11</v>
      </c>
      <c r="C110" t="s">
        <v>17</v>
      </c>
      <c r="D110">
        <v>2</v>
      </c>
      <c r="E110" t="s">
        <v>13</v>
      </c>
      <c r="F110" t="s">
        <v>12</v>
      </c>
      <c r="G110" s="3">
        <v>3800</v>
      </c>
      <c r="H110" s="3">
        <v>3600</v>
      </c>
      <c r="I110" s="3">
        <v>216</v>
      </c>
      <c r="J110">
        <v>360</v>
      </c>
      <c r="K110">
        <v>0</v>
      </c>
      <c r="L110" t="s">
        <v>14</v>
      </c>
      <c r="M110" t="s">
        <v>19</v>
      </c>
      <c r="N110">
        <f t="shared" si="6"/>
        <v>7400</v>
      </c>
      <c r="O110" t="str">
        <f t="shared" si="7"/>
        <v>Medium</v>
      </c>
      <c r="P110" s="4">
        <f t="shared" si="8"/>
        <v>2.9189189189189189E-2</v>
      </c>
      <c r="Q110" t="str">
        <f t="shared" si="9"/>
        <v>Large</v>
      </c>
      <c r="R110" s="19">
        <f t="shared" si="10"/>
        <v>0</v>
      </c>
      <c r="S110" t="str">
        <f t="shared" si="11"/>
        <v>1</v>
      </c>
    </row>
    <row r="111" spans="1:19" x14ac:dyDescent="0.25">
      <c r="A111" t="s">
        <v>130</v>
      </c>
      <c r="B111" t="s">
        <v>11</v>
      </c>
      <c r="C111" t="s">
        <v>17</v>
      </c>
      <c r="D111">
        <v>3</v>
      </c>
      <c r="E111" t="s">
        <v>22</v>
      </c>
      <c r="F111" t="s">
        <v>12</v>
      </c>
      <c r="G111" s="3">
        <v>2071</v>
      </c>
      <c r="H111" s="3">
        <v>754</v>
      </c>
      <c r="I111" s="3">
        <v>94</v>
      </c>
      <c r="J111">
        <v>480</v>
      </c>
      <c r="K111">
        <v>1</v>
      </c>
      <c r="L111" t="s">
        <v>27</v>
      </c>
      <c r="M111" t="s">
        <v>15</v>
      </c>
      <c r="N111">
        <f t="shared" si="6"/>
        <v>2825</v>
      </c>
      <c r="O111" t="str">
        <f t="shared" si="7"/>
        <v>Low</v>
      </c>
      <c r="P111" s="4">
        <f t="shared" si="8"/>
        <v>3.3274336283185837E-2</v>
      </c>
      <c r="Q111" t="str">
        <f t="shared" si="9"/>
        <v>Small</v>
      </c>
      <c r="R111" s="19">
        <f t="shared" si="10"/>
        <v>1</v>
      </c>
      <c r="S111" t="str">
        <f t="shared" si="11"/>
        <v>3</v>
      </c>
    </row>
    <row r="112" spans="1:19" x14ac:dyDescent="0.25">
      <c r="A112" t="s">
        <v>131</v>
      </c>
      <c r="B112" t="s">
        <v>11</v>
      </c>
      <c r="C112" t="s">
        <v>12</v>
      </c>
      <c r="D112">
        <v>0</v>
      </c>
      <c r="E112" t="s">
        <v>13</v>
      </c>
      <c r="F112" t="s">
        <v>12</v>
      </c>
      <c r="G112" s="3">
        <v>5316</v>
      </c>
      <c r="H112" s="3">
        <v>0</v>
      </c>
      <c r="I112" s="3">
        <v>136</v>
      </c>
      <c r="J112">
        <v>360</v>
      </c>
      <c r="K112">
        <v>1</v>
      </c>
      <c r="L112" t="s">
        <v>14</v>
      </c>
      <c r="M112" t="s">
        <v>15</v>
      </c>
      <c r="N112">
        <f t="shared" si="6"/>
        <v>5316</v>
      </c>
      <c r="O112" t="str">
        <f t="shared" si="7"/>
        <v>Medium</v>
      </c>
      <c r="P112" s="4">
        <f t="shared" si="8"/>
        <v>2.5583145221971408E-2</v>
      </c>
      <c r="Q112" t="str">
        <f t="shared" si="9"/>
        <v>Medium</v>
      </c>
      <c r="R112" s="19">
        <f t="shared" si="10"/>
        <v>1</v>
      </c>
      <c r="S112" t="str">
        <f t="shared" si="11"/>
        <v>1</v>
      </c>
    </row>
    <row r="113" spans="1:19" x14ac:dyDescent="0.25">
      <c r="A113" t="s">
        <v>132</v>
      </c>
      <c r="B113" t="s">
        <v>38</v>
      </c>
      <c r="C113" t="s">
        <v>17</v>
      </c>
      <c r="D113">
        <v>0</v>
      </c>
      <c r="E113" t="s">
        <v>13</v>
      </c>
      <c r="F113" t="s">
        <v>12</v>
      </c>
      <c r="G113" s="3">
        <v>2929</v>
      </c>
      <c r="H113" s="3">
        <v>2333</v>
      </c>
      <c r="I113" s="3">
        <v>139</v>
      </c>
      <c r="J113">
        <v>360</v>
      </c>
      <c r="K113">
        <v>1</v>
      </c>
      <c r="L113" t="s">
        <v>27</v>
      </c>
      <c r="M113" t="s">
        <v>15</v>
      </c>
      <c r="N113">
        <f t="shared" si="6"/>
        <v>5262</v>
      </c>
      <c r="O113" t="str">
        <f t="shared" si="7"/>
        <v>Medium</v>
      </c>
      <c r="P113" s="4">
        <f t="shared" si="8"/>
        <v>2.6415811478525276E-2</v>
      </c>
      <c r="Q113" t="str">
        <f t="shared" si="9"/>
        <v>Medium</v>
      </c>
      <c r="R113" s="19">
        <f t="shared" si="10"/>
        <v>1</v>
      </c>
      <c r="S113" t="str">
        <f t="shared" si="11"/>
        <v>3</v>
      </c>
    </row>
    <row r="114" spans="1:19" x14ac:dyDescent="0.25">
      <c r="A114" t="s">
        <v>133</v>
      </c>
      <c r="B114" t="s">
        <v>11</v>
      </c>
      <c r="C114" t="s">
        <v>17</v>
      </c>
      <c r="D114">
        <v>0</v>
      </c>
      <c r="E114" t="s">
        <v>22</v>
      </c>
      <c r="F114" t="s">
        <v>12</v>
      </c>
      <c r="G114" s="3">
        <v>3572</v>
      </c>
      <c r="H114" s="3">
        <v>4114</v>
      </c>
      <c r="I114" s="3">
        <v>152</v>
      </c>
      <c r="J114">
        <v>360</v>
      </c>
      <c r="K114">
        <v>0</v>
      </c>
      <c r="L114" t="s">
        <v>18</v>
      </c>
      <c r="M114" t="s">
        <v>19</v>
      </c>
      <c r="N114">
        <f t="shared" si="6"/>
        <v>7686</v>
      </c>
      <c r="O114" t="str">
        <f t="shared" si="7"/>
        <v>Medium</v>
      </c>
      <c r="P114" s="4">
        <f t="shared" si="8"/>
        <v>1.9776216497527973E-2</v>
      </c>
      <c r="Q114" t="str">
        <f t="shared" si="9"/>
        <v>Medium</v>
      </c>
      <c r="R114" s="19">
        <f t="shared" si="10"/>
        <v>0</v>
      </c>
      <c r="S114" t="str">
        <f t="shared" si="11"/>
        <v>2</v>
      </c>
    </row>
    <row r="115" spans="1:19" x14ac:dyDescent="0.25">
      <c r="A115" t="s">
        <v>134</v>
      </c>
      <c r="B115" t="s">
        <v>38</v>
      </c>
      <c r="C115" t="s">
        <v>12</v>
      </c>
      <c r="D115">
        <v>1</v>
      </c>
      <c r="E115" t="s">
        <v>13</v>
      </c>
      <c r="F115" t="s">
        <v>17</v>
      </c>
      <c r="G115" s="3">
        <v>7451</v>
      </c>
      <c r="H115" s="3">
        <v>0</v>
      </c>
      <c r="I115" s="3">
        <v>0</v>
      </c>
      <c r="J115">
        <v>360</v>
      </c>
      <c r="K115">
        <v>1</v>
      </c>
      <c r="L115" t="s">
        <v>27</v>
      </c>
      <c r="M115" t="s">
        <v>15</v>
      </c>
      <c r="N115">
        <f t="shared" si="6"/>
        <v>7451</v>
      </c>
      <c r="O115" t="str">
        <f t="shared" si="7"/>
        <v>Medium</v>
      </c>
      <c r="P115" s="4">
        <f t="shared" si="8"/>
        <v>0</v>
      </c>
      <c r="Q115" t="str">
        <f t="shared" si="9"/>
        <v>Small</v>
      </c>
      <c r="R115" s="19">
        <f t="shared" si="10"/>
        <v>1</v>
      </c>
      <c r="S115" t="str">
        <f t="shared" si="11"/>
        <v>3</v>
      </c>
    </row>
    <row r="116" spans="1:19" x14ac:dyDescent="0.25">
      <c r="A116" t="s">
        <v>135</v>
      </c>
      <c r="B116" t="s">
        <v>11</v>
      </c>
      <c r="C116" t="s">
        <v>12</v>
      </c>
      <c r="D116">
        <v>0</v>
      </c>
      <c r="E116" t="s">
        <v>13</v>
      </c>
      <c r="F116" t="s">
        <v>12</v>
      </c>
      <c r="G116" s="3">
        <v>5050</v>
      </c>
      <c r="H116" s="3">
        <v>0</v>
      </c>
      <c r="I116" s="3">
        <v>118</v>
      </c>
      <c r="J116">
        <v>360</v>
      </c>
      <c r="K116">
        <v>1</v>
      </c>
      <c r="L116" t="s">
        <v>27</v>
      </c>
      <c r="M116" t="s">
        <v>15</v>
      </c>
      <c r="N116">
        <f t="shared" si="6"/>
        <v>5050</v>
      </c>
      <c r="O116" t="str">
        <f t="shared" si="7"/>
        <v>Medium</v>
      </c>
      <c r="P116" s="4">
        <f t="shared" si="8"/>
        <v>2.3366336633663366E-2</v>
      </c>
      <c r="Q116" t="str">
        <f t="shared" si="9"/>
        <v>Medium</v>
      </c>
      <c r="R116" s="19">
        <f t="shared" si="10"/>
        <v>1</v>
      </c>
      <c r="S116" t="str">
        <f t="shared" si="11"/>
        <v>3</v>
      </c>
    </row>
    <row r="117" spans="1:19" x14ac:dyDescent="0.25">
      <c r="A117" t="s">
        <v>136</v>
      </c>
      <c r="B117" t="s">
        <v>11</v>
      </c>
      <c r="C117" t="s">
        <v>17</v>
      </c>
      <c r="D117">
        <v>1</v>
      </c>
      <c r="E117" t="s">
        <v>13</v>
      </c>
      <c r="F117" t="s">
        <v>12</v>
      </c>
      <c r="G117" s="3">
        <v>14583</v>
      </c>
      <c r="H117" s="3">
        <v>0</v>
      </c>
      <c r="I117" s="3">
        <v>185</v>
      </c>
      <c r="J117">
        <v>180</v>
      </c>
      <c r="K117">
        <v>1</v>
      </c>
      <c r="L117" t="s">
        <v>18</v>
      </c>
      <c r="M117" t="s">
        <v>15</v>
      </c>
      <c r="N117">
        <f t="shared" si="6"/>
        <v>14583</v>
      </c>
      <c r="O117" t="str">
        <f t="shared" si="7"/>
        <v>High</v>
      </c>
      <c r="P117" s="4">
        <f t="shared" si="8"/>
        <v>1.2686004251525749E-2</v>
      </c>
      <c r="Q117" t="str">
        <f t="shared" si="9"/>
        <v>Medium</v>
      </c>
      <c r="R117" s="19">
        <f t="shared" si="10"/>
        <v>1</v>
      </c>
      <c r="S117" t="str">
        <f t="shared" si="11"/>
        <v>2</v>
      </c>
    </row>
    <row r="118" spans="1:19" x14ac:dyDescent="0.25">
      <c r="A118" t="s">
        <v>137</v>
      </c>
      <c r="B118" t="s">
        <v>38</v>
      </c>
      <c r="C118" t="s">
        <v>17</v>
      </c>
      <c r="D118">
        <v>0</v>
      </c>
      <c r="E118" t="s">
        <v>13</v>
      </c>
      <c r="F118" t="s">
        <v>12</v>
      </c>
      <c r="G118" s="3">
        <v>3167</v>
      </c>
      <c r="H118" s="3">
        <v>2283</v>
      </c>
      <c r="I118" s="3">
        <v>154</v>
      </c>
      <c r="J118">
        <v>360</v>
      </c>
      <c r="K118">
        <v>1</v>
      </c>
      <c r="L118" t="s">
        <v>27</v>
      </c>
      <c r="M118" t="s">
        <v>15</v>
      </c>
      <c r="N118">
        <f t="shared" si="6"/>
        <v>5450</v>
      </c>
      <c r="O118" t="str">
        <f t="shared" si="7"/>
        <v>Medium</v>
      </c>
      <c r="P118" s="4">
        <f t="shared" si="8"/>
        <v>2.8256880733944955E-2</v>
      </c>
      <c r="Q118" t="str">
        <f t="shared" si="9"/>
        <v>Medium</v>
      </c>
      <c r="R118" s="19">
        <f t="shared" si="10"/>
        <v>1</v>
      </c>
      <c r="S118" t="str">
        <f t="shared" si="11"/>
        <v>3</v>
      </c>
    </row>
    <row r="119" spans="1:19" x14ac:dyDescent="0.25">
      <c r="A119" t="s">
        <v>138</v>
      </c>
      <c r="B119" t="s">
        <v>11</v>
      </c>
      <c r="C119" t="s">
        <v>17</v>
      </c>
      <c r="D119">
        <v>1</v>
      </c>
      <c r="E119" t="s">
        <v>13</v>
      </c>
      <c r="F119" t="s">
        <v>12</v>
      </c>
      <c r="G119" s="3">
        <v>2214</v>
      </c>
      <c r="H119" s="3">
        <v>1398</v>
      </c>
      <c r="I119" s="3">
        <v>85</v>
      </c>
      <c r="J119">
        <v>360</v>
      </c>
      <c r="K119">
        <v>0</v>
      </c>
      <c r="L119" t="s">
        <v>14</v>
      </c>
      <c r="M119" t="s">
        <v>15</v>
      </c>
      <c r="N119">
        <f t="shared" si="6"/>
        <v>3612</v>
      </c>
      <c r="O119" t="str">
        <f t="shared" si="7"/>
        <v>Low</v>
      </c>
      <c r="P119" s="4">
        <f t="shared" si="8"/>
        <v>2.353266888150609E-2</v>
      </c>
      <c r="Q119" t="str">
        <f t="shared" si="9"/>
        <v>Small</v>
      </c>
      <c r="R119" s="19">
        <f t="shared" si="10"/>
        <v>1</v>
      </c>
      <c r="S119" t="str">
        <f t="shared" si="11"/>
        <v>1</v>
      </c>
    </row>
    <row r="120" spans="1:19" x14ac:dyDescent="0.25">
      <c r="A120" t="s">
        <v>139</v>
      </c>
      <c r="B120" t="s">
        <v>11</v>
      </c>
      <c r="C120" t="s">
        <v>17</v>
      </c>
      <c r="D120">
        <v>0</v>
      </c>
      <c r="E120" t="s">
        <v>13</v>
      </c>
      <c r="F120" t="s">
        <v>12</v>
      </c>
      <c r="G120" s="3">
        <v>5568</v>
      </c>
      <c r="H120" s="3">
        <v>2142</v>
      </c>
      <c r="I120" s="3">
        <v>175</v>
      </c>
      <c r="J120">
        <v>360</v>
      </c>
      <c r="K120">
        <v>1</v>
      </c>
      <c r="L120" t="s">
        <v>18</v>
      </c>
      <c r="M120" t="s">
        <v>19</v>
      </c>
      <c r="N120">
        <f t="shared" si="6"/>
        <v>7710</v>
      </c>
      <c r="O120" t="str">
        <f t="shared" si="7"/>
        <v>Medium</v>
      </c>
      <c r="P120" s="4">
        <f t="shared" si="8"/>
        <v>2.2697795071335927E-2</v>
      </c>
      <c r="Q120" t="str">
        <f t="shared" si="9"/>
        <v>Medium</v>
      </c>
      <c r="R120" s="19">
        <f t="shared" si="10"/>
        <v>0</v>
      </c>
      <c r="S120" t="str">
        <f t="shared" si="11"/>
        <v>2</v>
      </c>
    </row>
    <row r="121" spans="1:19" x14ac:dyDescent="0.25">
      <c r="A121" t="s">
        <v>140</v>
      </c>
      <c r="B121" t="s">
        <v>38</v>
      </c>
      <c r="C121" t="s">
        <v>12</v>
      </c>
      <c r="D121">
        <v>0</v>
      </c>
      <c r="E121" t="s">
        <v>13</v>
      </c>
      <c r="F121" t="s">
        <v>12</v>
      </c>
      <c r="G121" s="3">
        <v>10408</v>
      </c>
      <c r="H121" s="3">
        <v>0</v>
      </c>
      <c r="I121" s="3">
        <v>259</v>
      </c>
      <c r="J121">
        <v>360</v>
      </c>
      <c r="K121">
        <v>1</v>
      </c>
      <c r="L121" t="s">
        <v>14</v>
      </c>
      <c r="M121" t="s">
        <v>15</v>
      </c>
      <c r="N121">
        <f t="shared" si="6"/>
        <v>10408</v>
      </c>
      <c r="O121" t="str">
        <f t="shared" si="7"/>
        <v>High</v>
      </c>
      <c r="P121" s="4">
        <f t="shared" si="8"/>
        <v>2.4884704073789392E-2</v>
      </c>
      <c r="Q121" t="str">
        <f t="shared" si="9"/>
        <v>Large</v>
      </c>
      <c r="R121" s="19">
        <f t="shared" si="10"/>
        <v>1</v>
      </c>
      <c r="S121" t="str">
        <f t="shared" si="11"/>
        <v>1</v>
      </c>
    </row>
    <row r="122" spans="1:19" x14ac:dyDescent="0.25">
      <c r="A122" t="s">
        <v>141</v>
      </c>
      <c r="B122" t="s">
        <v>11</v>
      </c>
      <c r="C122" t="s">
        <v>17</v>
      </c>
      <c r="D122">
        <v>0</v>
      </c>
      <c r="E122" t="s">
        <v>13</v>
      </c>
      <c r="F122" t="s">
        <v>12</v>
      </c>
      <c r="G122" s="3">
        <v>5667</v>
      </c>
      <c r="H122" s="3">
        <v>2667</v>
      </c>
      <c r="I122" s="3">
        <v>180</v>
      </c>
      <c r="J122">
        <v>360</v>
      </c>
      <c r="K122">
        <v>1</v>
      </c>
      <c r="L122" t="s">
        <v>18</v>
      </c>
      <c r="M122" t="s">
        <v>15</v>
      </c>
      <c r="N122">
        <f t="shared" si="6"/>
        <v>8334</v>
      </c>
      <c r="O122" t="str">
        <f t="shared" si="7"/>
        <v>High</v>
      </c>
      <c r="P122" s="4">
        <f t="shared" si="8"/>
        <v>2.159827213822894E-2</v>
      </c>
      <c r="Q122" t="str">
        <f t="shared" si="9"/>
        <v>Medium</v>
      </c>
      <c r="R122" s="19">
        <f t="shared" si="10"/>
        <v>1</v>
      </c>
      <c r="S122" t="str">
        <f t="shared" si="11"/>
        <v>2</v>
      </c>
    </row>
    <row r="123" spans="1:19" x14ac:dyDescent="0.25">
      <c r="A123" t="s">
        <v>142</v>
      </c>
      <c r="B123" t="s">
        <v>38</v>
      </c>
      <c r="C123" t="s">
        <v>12</v>
      </c>
      <c r="D123">
        <v>0</v>
      </c>
      <c r="E123" t="s">
        <v>13</v>
      </c>
      <c r="F123" t="s">
        <v>12</v>
      </c>
      <c r="G123" s="3">
        <v>4166</v>
      </c>
      <c r="H123" s="3">
        <v>0</v>
      </c>
      <c r="I123" s="3">
        <v>44</v>
      </c>
      <c r="J123">
        <v>360</v>
      </c>
      <c r="K123">
        <v>1</v>
      </c>
      <c r="L123" t="s">
        <v>27</v>
      </c>
      <c r="M123" t="s">
        <v>15</v>
      </c>
      <c r="N123">
        <f t="shared" si="6"/>
        <v>4166</v>
      </c>
      <c r="O123" t="str">
        <f t="shared" si="7"/>
        <v>Medium</v>
      </c>
      <c r="P123" s="4">
        <f t="shared" si="8"/>
        <v>1.0561689870379261E-2</v>
      </c>
      <c r="Q123" t="str">
        <f t="shared" si="9"/>
        <v>Small</v>
      </c>
      <c r="R123" s="19">
        <f t="shared" si="10"/>
        <v>1</v>
      </c>
      <c r="S123" t="str">
        <f t="shared" si="11"/>
        <v>3</v>
      </c>
    </row>
    <row r="124" spans="1:19" x14ac:dyDescent="0.25">
      <c r="A124" t="s">
        <v>143</v>
      </c>
      <c r="B124" t="s">
        <v>38</v>
      </c>
      <c r="C124" t="s">
        <v>12</v>
      </c>
      <c r="D124">
        <v>0</v>
      </c>
      <c r="E124" t="s">
        <v>13</v>
      </c>
      <c r="F124" t="s">
        <v>12</v>
      </c>
      <c r="G124" s="3">
        <v>2137</v>
      </c>
      <c r="H124" s="3">
        <v>8980</v>
      </c>
      <c r="I124" s="3">
        <v>137</v>
      </c>
      <c r="J124">
        <v>360</v>
      </c>
      <c r="K124">
        <v>0</v>
      </c>
      <c r="L124" t="s">
        <v>27</v>
      </c>
      <c r="M124" t="s">
        <v>15</v>
      </c>
      <c r="N124">
        <f t="shared" si="6"/>
        <v>11117</v>
      </c>
      <c r="O124" t="str">
        <f t="shared" si="7"/>
        <v>High</v>
      </c>
      <c r="P124" s="4">
        <f t="shared" si="8"/>
        <v>1.232346856166232E-2</v>
      </c>
      <c r="Q124" t="str">
        <f t="shared" si="9"/>
        <v>Medium</v>
      </c>
      <c r="R124" s="19">
        <f t="shared" si="10"/>
        <v>1</v>
      </c>
      <c r="S124" t="str">
        <f t="shared" si="11"/>
        <v>3</v>
      </c>
    </row>
    <row r="125" spans="1:19" x14ac:dyDescent="0.25">
      <c r="A125" t="s">
        <v>144</v>
      </c>
      <c r="B125" t="s">
        <v>11</v>
      </c>
      <c r="C125" t="s">
        <v>17</v>
      </c>
      <c r="D125">
        <v>2</v>
      </c>
      <c r="E125" t="s">
        <v>13</v>
      </c>
      <c r="F125" t="s">
        <v>12</v>
      </c>
      <c r="G125" s="3">
        <v>2957</v>
      </c>
      <c r="H125" s="3">
        <v>0</v>
      </c>
      <c r="I125" s="3">
        <v>81</v>
      </c>
      <c r="J125">
        <v>360</v>
      </c>
      <c r="K125">
        <v>1</v>
      </c>
      <c r="L125" t="s">
        <v>27</v>
      </c>
      <c r="M125" t="s">
        <v>15</v>
      </c>
      <c r="N125">
        <f t="shared" si="6"/>
        <v>2957</v>
      </c>
      <c r="O125" t="str">
        <f t="shared" si="7"/>
        <v>Low</v>
      </c>
      <c r="P125" s="4">
        <f t="shared" si="8"/>
        <v>2.7392627663172135E-2</v>
      </c>
      <c r="Q125" t="str">
        <f t="shared" si="9"/>
        <v>Small</v>
      </c>
      <c r="R125" s="19">
        <f t="shared" si="10"/>
        <v>1</v>
      </c>
      <c r="S125" t="str">
        <f t="shared" si="11"/>
        <v>3</v>
      </c>
    </row>
    <row r="126" spans="1:19" x14ac:dyDescent="0.25">
      <c r="A126" t="s">
        <v>145</v>
      </c>
      <c r="B126" t="s">
        <v>11</v>
      </c>
      <c r="C126" t="s">
        <v>17</v>
      </c>
      <c r="D126">
        <v>0</v>
      </c>
      <c r="E126" t="s">
        <v>22</v>
      </c>
      <c r="F126" t="s">
        <v>12</v>
      </c>
      <c r="G126" s="3">
        <v>4300</v>
      </c>
      <c r="H126" s="3">
        <v>2014</v>
      </c>
      <c r="I126" s="3">
        <v>194</v>
      </c>
      <c r="J126">
        <v>360</v>
      </c>
      <c r="K126">
        <v>1</v>
      </c>
      <c r="L126" t="s">
        <v>18</v>
      </c>
      <c r="M126" t="s">
        <v>15</v>
      </c>
      <c r="N126">
        <f t="shared" si="6"/>
        <v>6314</v>
      </c>
      <c r="O126" t="str">
        <f t="shared" si="7"/>
        <v>Medium</v>
      </c>
      <c r="P126" s="4">
        <f t="shared" si="8"/>
        <v>3.0725372188786824E-2</v>
      </c>
      <c r="Q126" t="str">
        <f t="shared" si="9"/>
        <v>Medium</v>
      </c>
      <c r="R126" s="19">
        <f t="shared" si="10"/>
        <v>1</v>
      </c>
      <c r="S126" t="str">
        <f t="shared" si="11"/>
        <v>2</v>
      </c>
    </row>
    <row r="127" spans="1:19" x14ac:dyDescent="0.25">
      <c r="A127" t="s">
        <v>146</v>
      </c>
      <c r="B127" t="s">
        <v>38</v>
      </c>
      <c r="C127" t="s">
        <v>12</v>
      </c>
      <c r="D127">
        <v>0</v>
      </c>
      <c r="E127" t="s">
        <v>13</v>
      </c>
      <c r="F127" t="s">
        <v>12</v>
      </c>
      <c r="G127" s="3">
        <v>3692</v>
      </c>
      <c r="H127" s="3">
        <v>0</v>
      </c>
      <c r="I127" s="3">
        <v>93</v>
      </c>
      <c r="J127">
        <v>360</v>
      </c>
      <c r="K127">
        <v>1</v>
      </c>
      <c r="L127" t="s">
        <v>18</v>
      </c>
      <c r="M127" t="s">
        <v>15</v>
      </c>
      <c r="N127">
        <f t="shared" si="6"/>
        <v>3692</v>
      </c>
      <c r="O127" t="str">
        <f t="shared" si="7"/>
        <v>Low</v>
      </c>
      <c r="P127" s="4">
        <f t="shared" si="8"/>
        <v>2.5189599133261104E-2</v>
      </c>
      <c r="Q127" t="str">
        <f t="shared" si="9"/>
        <v>Small</v>
      </c>
      <c r="R127" s="19">
        <f t="shared" si="10"/>
        <v>1</v>
      </c>
      <c r="S127" t="str">
        <f t="shared" si="11"/>
        <v>2</v>
      </c>
    </row>
    <row r="128" spans="1:19" x14ac:dyDescent="0.25">
      <c r="A128" t="s">
        <v>147</v>
      </c>
      <c r="B128" t="s">
        <v>11</v>
      </c>
      <c r="C128" t="s">
        <v>17</v>
      </c>
      <c r="D128">
        <v>3</v>
      </c>
      <c r="E128" t="s">
        <v>13</v>
      </c>
      <c r="F128" t="s">
        <v>12</v>
      </c>
      <c r="G128" s="3">
        <v>23803</v>
      </c>
      <c r="H128" s="3">
        <v>0</v>
      </c>
      <c r="I128" s="3">
        <v>370</v>
      </c>
      <c r="J128">
        <v>360</v>
      </c>
      <c r="K128">
        <v>1</v>
      </c>
      <c r="L128" t="s">
        <v>18</v>
      </c>
      <c r="M128" t="s">
        <v>15</v>
      </c>
      <c r="N128">
        <f t="shared" si="6"/>
        <v>23803</v>
      </c>
      <c r="O128" t="str">
        <f t="shared" si="7"/>
        <v>High</v>
      </c>
      <c r="P128" s="4">
        <f t="shared" si="8"/>
        <v>1.5544259127000798E-2</v>
      </c>
      <c r="Q128" t="str">
        <f t="shared" si="9"/>
        <v>Large</v>
      </c>
      <c r="R128" s="19">
        <f t="shared" si="10"/>
        <v>1</v>
      </c>
      <c r="S128" t="str">
        <f t="shared" si="11"/>
        <v>2</v>
      </c>
    </row>
    <row r="129" spans="1:19" x14ac:dyDescent="0.25">
      <c r="A129" t="s">
        <v>148</v>
      </c>
      <c r="B129" t="s">
        <v>11</v>
      </c>
      <c r="C129" t="s">
        <v>12</v>
      </c>
      <c r="D129">
        <v>0</v>
      </c>
      <c r="E129" t="s">
        <v>13</v>
      </c>
      <c r="F129" t="s">
        <v>12</v>
      </c>
      <c r="G129" s="3">
        <v>3865</v>
      </c>
      <c r="H129" s="3">
        <v>1640</v>
      </c>
      <c r="I129" s="3">
        <v>0</v>
      </c>
      <c r="J129">
        <v>360</v>
      </c>
      <c r="K129">
        <v>1</v>
      </c>
      <c r="L129" t="s">
        <v>18</v>
      </c>
      <c r="M129" t="s">
        <v>15</v>
      </c>
      <c r="N129">
        <f t="shared" si="6"/>
        <v>5505</v>
      </c>
      <c r="O129" t="str">
        <f t="shared" si="7"/>
        <v>Medium</v>
      </c>
      <c r="P129" s="4">
        <f t="shared" si="8"/>
        <v>0</v>
      </c>
      <c r="Q129" t="str">
        <f t="shared" si="9"/>
        <v>Small</v>
      </c>
      <c r="R129" s="19">
        <f t="shared" si="10"/>
        <v>1</v>
      </c>
      <c r="S129" t="str">
        <f t="shared" si="11"/>
        <v>2</v>
      </c>
    </row>
    <row r="130" spans="1:19" x14ac:dyDescent="0.25">
      <c r="A130" t="s">
        <v>149</v>
      </c>
      <c r="B130" t="s">
        <v>11</v>
      </c>
      <c r="C130" t="s">
        <v>17</v>
      </c>
      <c r="D130">
        <v>1</v>
      </c>
      <c r="E130" t="s">
        <v>13</v>
      </c>
      <c r="F130" t="s">
        <v>17</v>
      </c>
      <c r="G130" s="3">
        <v>10513</v>
      </c>
      <c r="H130" s="3">
        <v>3850</v>
      </c>
      <c r="I130" s="3">
        <v>160</v>
      </c>
      <c r="J130">
        <v>180</v>
      </c>
      <c r="K130">
        <v>0</v>
      </c>
      <c r="L130" t="s">
        <v>14</v>
      </c>
      <c r="M130" t="s">
        <v>19</v>
      </c>
      <c r="N130">
        <f t="shared" si="6"/>
        <v>14363</v>
      </c>
      <c r="O130" t="str">
        <f t="shared" si="7"/>
        <v>High</v>
      </c>
      <c r="P130" s="4">
        <f t="shared" si="8"/>
        <v>1.1139734038849823E-2</v>
      </c>
      <c r="Q130" t="str">
        <f t="shared" si="9"/>
        <v>Medium</v>
      </c>
      <c r="R130" s="19">
        <f t="shared" si="10"/>
        <v>0</v>
      </c>
      <c r="S130" t="str">
        <f t="shared" si="11"/>
        <v>1</v>
      </c>
    </row>
    <row r="131" spans="1:19" x14ac:dyDescent="0.25">
      <c r="A131" t="s">
        <v>150</v>
      </c>
      <c r="B131" t="s">
        <v>11</v>
      </c>
      <c r="C131" t="s">
        <v>17</v>
      </c>
      <c r="D131">
        <v>0</v>
      </c>
      <c r="E131" t="s">
        <v>13</v>
      </c>
      <c r="F131" t="s">
        <v>12</v>
      </c>
      <c r="G131" s="3">
        <v>6080</v>
      </c>
      <c r="H131" s="3">
        <v>2569</v>
      </c>
      <c r="I131" s="3">
        <v>182</v>
      </c>
      <c r="J131">
        <v>360</v>
      </c>
      <c r="K131">
        <v>1</v>
      </c>
      <c r="L131" t="s">
        <v>18</v>
      </c>
      <c r="M131" t="s">
        <v>19</v>
      </c>
      <c r="N131">
        <f t="shared" ref="N131:N194" si="12">G131+H131</f>
        <v>8649</v>
      </c>
      <c r="O131" t="str">
        <f t="shared" ref="O131:O194" si="13">IF(N131&lt;4000,"Low", IF(N131&lt;8000, "Medium", "High"))</f>
        <v>High</v>
      </c>
      <c r="P131" s="4">
        <f t="shared" ref="P131:P194" si="14">I131/N131</f>
        <v>2.1042895132385248E-2</v>
      </c>
      <c r="Q131" t="str">
        <f t="shared" ref="Q131:Q194" si="15">IF(I131&lt;100, "Small", IF(I131&lt;200, "Medium", "Large"))</f>
        <v>Medium</v>
      </c>
      <c r="R131" s="19">
        <f t="shared" ref="R131:R194" si="16">IF(M131="Y", 1*1, 1*0)</f>
        <v>0</v>
      </c>
      <c r="S131" t="str">
        <f t="shared" ref="S131:S194" si="17">IF(L131="Urban","1", IF(L131="Rural", "2", IF(L131="Semiurban","3")))</f>
        <v>2</v>
      </c>
    </row>
    <row r="132" spans="1:19" x14ac:dyDescent="0.25">
      <c r="A132" t="s">
        <v>151</v>
      </c>
      <c r="B132" t="s">
        <v>11</v>
      </c>
      <c r="C132" t="s">
        <v>12</v>
      </c>
      <c r="D132">
        <v>0</v>
      </c>
      <c r="E132" t="s">
        <v>13</v>
      </c>
      <c r="F132" t="s">
        <v>17</v>
      </c>
      <c r="G132" s="3">
        <v>20166</v>
      </c>
      <c r="H132" s="3">
        <v>0</v>
      </c>
      <c r="I132" s="3">
        <v>650</v>
      </c>
      <c r="J132">
        <v>480</v>
      </c>
      <c r="K132">
        <v>1</v>
      </c>
      <c r="L132" t="s">
        <v>14</v>
      </c>
      <c r="M132" t="s">
        <v>15</v>
      </c>
      <c r="N132">
        <f t="shared" si="12"/>
        <v>20166</v>
      </c>
      <c r="O132" t="str">
        <f t="shared" si="13"/>
        <v>High</v>
      </c>
      <c r="P132" s="4">
        <f t="shared" si="14"/>
        <v>3.223247049489239E-2</v>
      </c>
      <c r="Q132" t="str">
        <f t="shared" si="15"/>
        <v>Large</v>
      </c>
      <c r="R132" s="19">
        <f t="shared" si="16"/>
        <v>1</v>
      </c>
      <c r="S132" t="str">
        <f t="shared" si="17"/>
        <v>1</v>
      </c>
    </row>
    <row r="133" spans="1:19" x14ac:dyDescent="0.25">
      <c r="A133" t="s">
        <v>152</v>
      </c>
      <c r="B133" t="s">
        <v>11</v>
      </c>
      <c r="C133" t="s">
        <v>12</v>
      </c>
      <c r="D133">
        <v>0</v>
      </c>
      <c r="E133" t="s">
        <v>13</v>
      </c>
      <c r="F133" t="s">
        <v>12</v>
      </c>
      <c r="G133" s="3">
        <v>2014</v>
      </c>
      <c r="H133" s="3">
        <v>1929</v>
      </c>
      <c r="I133" s="3">
        <v>74</v>
      </c>
      <c r="J133">
        <v>360</v>
      </c>
      <c r="K133">
        <v>1</v>
      </c>
      <c r="L133" t="s">
        <v>14</v>
      </c>
      <c r="M133" t="s">
        <v>15</v>
      </c>
      <c r="N133">
        <f t="shared" si="12"/>
        <v>3943</v>
      </c>
      <c r="O133" t="str">
        <f t="shared" si="13"/>
        <v>Low</v>
      </c>
      <c r="P133" s="4">
        <f t="shared" si="14"/>
        <v>1.8767435962465127E-2</v>
      </c>
      <c r="Q133" t="str">
        <f t="shared" si="15"/>
        <v>Small</v>
      </c>
      <c r="R133" s="19">
        <f t="shared" si="16"/>
        <v>1</v>
      </c>
      <c r="S133" t="str">
        <f t="shared" si="17"/>
        <v>1</v>
      </c>
    </row>
    <row r="134" spans="1:19" x14ac:dyDescent="0.25">
      <c r="A134" t="s">
        <v>153</v>
      </c>
      <c r="B134" t="s">
        <v>11</v>
      </c>
      <c r="C134" t="s">
        <v>12</v>
      </c>
      <c r="D134">
        <v>0</v>
      </c>
      <c r="E134" t="s">
        <v>13</v>
      </c>
      <c r="F134" t="s">
        <v>12</v>
      </c>
      <c r="G134" s="3">
        <v>2718</v>
      </c>
      <c r="H134" s="3">
        <v>0</v>
      </c>
      <c r="I134" s="3">
        <v>70</v>
      </c>
      <c r="J134">
        <v>360</v>
      </c>
      <c r="K134">
        <v>1</v>
      </c>
      <c r="L134" t="s">
        <v>27</v>
      </c>
      <c r="M134" t="s">
        <v>15</v>
      </c>
      <c r="N134">
        <f t="shared" si="12"/>
        <v>2718</v>
      </c>
      <c r="O134" t="str">
        <f t="shared" si="13"/>
        <v>Low</v>
      </c>
      <c r="P134" s="4">
        <f t="shared" si="14"/>
        <v>2.5754231052244298E-2</v>
      </c>
      <c r="Q134" t="str">
        <f t="shared" si="15"/>
        <v>Small</v>
      </c>
      <c r="R134" s="19">
        <f t="shared" si="16"/>
        <v>1</v>
      </c>
      <c r="S134" t="str">
        <f t="shared" si="17"/>
        <v>3</v>
      </c>
    </row>
    <row r="135" spans="1:19" x14ac:dyDescent="0.25">
      <c r="A135" t="s">
        <v>154</v>
      </c>
      <c r="B135" t="s">
        <v>11</v>
      </c>
      <c r="C135" t="s">
        <v>17</v>
      </c>
      <c r="D135">
        <v>0</v>
      </c>
      <c r="E135" t="s">
        <v>13</v>
      </c>
      <c r="F135" t="s">
        <v>17</v>
      </c>
      <c r="G135" s="3">
        <v>3459</v>
      </c>
      <c r="H135" s="3">
        <v>0</v>
      </c>
      <c r="I135" s="3">
        <v>25</v>
      </c>
      <c r="J135">
        <v>120</v>
      </c>
      <c r="K135">
        <v>1</v>
      </c>
      <c r="L135" t="s">
        <v>27</v>
      </c>
      <c r="M135" t="s">
        <v>15</v>
      </c>
      <c r="N135">
        <f t="shared" si="12"/>
        <v>3459</v>
      </c>
      <c r="O135" t="str">
        <f t="shared" si="13"/>
        <v>Low</v>
      </c>
      <c r="P135" s="4">
        <f t="shared" si="14"/>
        <v>7.2275224053194561E-3</v>
      </c>
      <c r="Q135" t="str">
        <f t="shared" si="15"/>
        <v>Small</v>
      </c>
      <c r="R135" s="19">
        <f t="shared" si="16"/>
        <v>1</v>
      </c>
      <c r="S135" t="str">
        <f t="shared" si="17"/>
        <v>3</v>
      </c>
    </row>
    <row r="136" spans="1:19" x14ac:dyDescent="0.25">
      <c r="A136" t="s">
        <v>155</v>
      </c>
      <c r="B136" t="s">
        <v>11</v>
      </c>
      <c r="C136" t="s">
        <v>12</v>
      </c>
      <c r="D136">
        <v>0</v>
      </c>
      <c r="E136" t="s">
        <v>13</v>
      </c>
      <c r="F136" t="s">
        <v>12</v>
      </c>
      <c r="G136" s="3">
        <v>4895</v>
      </c>
      <c r="H136" s="3">
        <v>0</v>
      </c>
      <c r="I136" s="3">
        <v>102</v>
      </c>
      <c r="J136">
        <v>360</v>
      </c>
      <c r="K136">
        <v>1</v>
      </c>
      <c r="L136" t="s">
        <v>27</v>
      </c>
      <c r="M136" t="s">
        <v>15</v>
      </c>
      <c r="N136">
        <f t="shared" si="12"/>
        <v>4895</v>
      </c>
      <c r="O136" t="str">
        <f t="shared" si="13"/>
        <v>Medium</v>
      </c>
      <c r="P136" s="4">
        <f t="shared" si="14"/>
        <v>2.0837589376915218E-2</v>
      </c>
      <c r="Q136" t="str">
        <f t="shared" si="15"/>
        <v>Medium</v>
      </c>
      <c r="R136" s="19">
        <f t="shared" si="16"/>
        <v>1</v>
      </c>
      <c r="S136" t="str">
        <f t="shared" si="17"/>
        <v>3</v>
      </c>
    </row>
    <row r="137" spans="1:19" x14ac:dyDescent="0.25">
      <c r="A137" t="s">
        <v>156</v>
      </c>
      <c r="B137" t="s">
        <v>11</v>
      </c>
      <c r="C137" t="s">
        <v>17</v>
      </c>
      <c r="D137">
        <v>3</v>
      </c>
      <c r="E137" t="s">
        <v>13</v>
      </c>
      <c r="F137" t="s">
        <v>12</v>
      </c>
      <c r="G137" s="3">
        <v>4000</v>
      </c>
      <c r="H137" s="3">
        <v>7750</v>
      </c>
      <c r="I137" s="3">
        <v>290</v>
      </c>
      <c r="J137">
        <v>360</v>
      </c>
      <c r="K137">
        <v>1</v>
      </c>
      <c r="L137" t="s">
        <v>27</v>
      </c>
      <c r="M137" t="s">
        <v>19</v>
      </c>
      <c r="N137">
        <f t="shared" si="12"/>
        <v>11750</v>
      </c>
      <c r="O137" t="str">
        <f t="shared" si="13"/>
        <v>High</v>
      </c>
      <c r="P137" s="4">
        <f t="shared" si="14"/>
        <v>2.4680851063829789E-2</v>
      </c>
      <c r="Q137" t="str">
        <f t="shared" si="15"/>
        <v>Large</v>
      </c>
      <c r="R137" s="19">
        <f t="shared" si="16"/>
        <v>0</v>
      </c>
      <c r="S137" t="str">
        <f t="shared" si="17"/>
        <v>3</v>
      </c>
    </row>
    <row r="138" spans="1:19" x14ac:dyDescent="0.25">
      <c r="A138" t="s">
        <v>157</v>
      </c>
      <c r="B138" t="s">
        <v>38</v>
      </c>
      <c r="C138" t="s">
        <v>17</v>
      </c>
      <c r="D138">
        <v>0</v>
      </c>
      <c r="E138" t="s">
        <v>13</v>
      </c>
      <c r="F138" t="s">
        <v>12</v>
      </c>
      <c r="G138" s="3">
        <v>4583</v>
      </c>
      <c r="H138" s="3">
        <v>0</v>
      </c>
      <c r="I138" s="3">
        <v>84</v>
      </c>
      <c r="J138">
        <v>360</v>
      </c>
      <c r="K138">
        <v>1</v>
      </c>
      <c r="L138" t="s">
        <v>18</v>
      </c>
      <c r="M138" t="s">
        <v>19</v>
      </c>
      <c r="N138">
        <f t="shared" si="12"/>
        <v>4583</v>
      </c>
      <c r="O138" t="str">
        <f t="shared" si="13"/>
        <v>Medium</v>
      </c>
      <c r="P138" s="4">
        <f t="shared" si="14"/>
        <v>1.8328605716779401E-2</v>
      </c>
      <c r="Q138" t="str">
        <f t="shared" si="15"/>
        <v>Small</v>
      </c>
      <c r="R138" s="19">
        <f t="shared" si="16"/>
        <v>0</v>
      </c>
      <c r="S138" t="str">
        <f t="shared" si="17"/>
        <v>2</v>
      </c>
    </row>
    <row r="139" spans="1:19" x14ac:dyDescent="0.25">
      <c r="A139" t="s">
        <v>158</v>
      </c>
      <c r="B139" t="s">
        <v>11</v>
      </c>
      <c r="C139" t="s">
        <v>17</v>
      </c>
      <c r="D139">
        <v>2</v>
      </c>
      <c r="E139" t="s">
        <v>13</v>
      </c>
      <c r="F139" t="s">
        <v>17</v>
      </c>
      <c r="G139" s="3">
        <v>3316</v>
      </c>
      <c r="H139" s="3">
        <v>3500</v>
      </c>
      <c r="I139" s="3">
        <v>88</v>
      </c>
      <c r="J139">
        <v>360</v>
      </c>
      <c r="K139">
        <v>1</v>
      </c>
      <c r="L139" t="s">
        <v>14</v>
      </c>
      <c r="M139" t="s">
        <v>15</v>
      </c>
      <c r="N139">
        <f t="shared" si="12"/>
        <v>6816</v>
      </c>
      <c r="O139" t="str">
        <f t="shared" si="13"/>
        <v>Medium</v>
      </c>
      <c r="P139" s="4">
        <f t="shared" si="14"/>
        <v>1.2910798122065728E-2</v>
      </c>
      <c r="Q139" t="str">
        <f t="shared" si="15"/>
        <v>Small</v>
      </c>
      <c r="R139" s="19">
        <f t="shared" si="16"/>
        <v>1</v>
      </c>
      <c r="S139" t="str">
        <f t="shared" si="17"/>
        <v>1</v>
      </c>
    </row>
    <row r="140" spans="1:19" x14ac:dyDescent="0.25">
      <c r="A140" t="s">
        <v>159</v>
      </c>
      <c r="B140" t="s">
        <v>11</v>
      </c>
      <c r="C140" t="s">
        <v>12</v>
      </c>
      <c r="D140">
        <v>0</v>
      </c>
      <c r="E140" t="s">
        <v>13</v>
      </c>
      <c r="F140" t="s">
        <v>12</v>
      </c>
      <c r="G140" s="3">
        <v>14999</v>
      </c>
      <c r="H140" s="3">
        <v>0</v>
      </c>
      <c r="I140" s="3">
        <v>242</v>
      </c>
      <c r="J140">
        <v>360</v>
      </c>
      <c r="K140">
        <v>0</v>
      </c>
      <c r="L140" t="s">
        <v>27</v>
      </c>
      <c r="M140" t="s">
        <v>19</v>
      </c>
      <c r="N140">
        <f t="shared" si="12"/>
        <v>14999</v>
      </c>
      <c r="O140" t="str">
        <f t="shared" si="13"/>
        <v>High</v>
      </c>
      <c r="P140" s="4">
        <f t="shared" si="14"/>
        <v>1.6134408960597372E-2</v>
      </c>
      <c r="Q140" t="str">
        <f t="shared" si="15"/>
        <v>Large</v>
      </c>
      <c r="R140" s="19">
        <f t="shared" si="16"/>
        <v>0</v>
      </c>
      <c r="S140" t="str">
        <f t="shared" si="17"/>
        <v>3</v>
      </c>
    </row>
    <row r="141" spans="1:19" x14ac:dyDescent="0.25">
      <c r="A141" t="s">
        <v>160</v>
      </c>
      <c r="B141" t="s">
        <v>11</v>
      </c>
      <c r="C141" t="s">
        <v>17</v>
      </c>
      <c r="D141">
        <v>2</v>
      </c>
      <c r="E141" t="s">
        <v>22</v>
      </c>
      <c r="F141" t="s">
        <v>12</v>
      </c>
      <c r="G141" s="3">
        <v>4200</v>
      </c>
      <c r="H141" s="3">
        <v>1430</v>
      </c>
      <c r="I141" s="3">
        <v>129</v>
      </c>
      <c r="J141">
        <v>360</v>
      </c>
      <c r="K141">
        <v>1</v>
      </c>
      <c r="L141" t="s">
        <v>18</v>
      </c>
      <c r="M141" t="s">
        <v>19</v>
      </c>
      <c r="N141">
        <f t="shared" si="12"/>
        <v>5630</v>
      </c>
      <c r="O141" t="str">
        <f t="shared" si="13"/>
        <v>Medium</v>
      </c>
      <c r="P141" s="4">
        <f t="shared" si="14"/>
        <v>2.2912966252220248E-2</v>
      </c>
      <c r="Q141" t="str">
        <f t="shared" si="15"/>
        <v>Medium</v>
      </c>
      <c r="R141" s="19">
        <f t="shared" si="16"/>
        <v>0</v>
      </c>
      <c r="S141" t="str">
        <f t="shared" si="17"/>
        <v>2</v>
      </c>
    </row>
    <row r="142" spans="1:19" x14ac:dyDescent="0.25">
      <c r="A142" t="s">
        <v>161</v>
      </c>
      <c r="B142" t="s">
        <v>11</v>
      </c>
      <c r="C142" t="s">
        <v>17</v>
      </c>
      <c r="D142">
        <v>2</v>
      </c>
      <c r="E142" t="s">
        <v>13</v>
      </c>
      <c r="F142" t="s">
        <v>12</v>
      </c>
      <c r="G142" s="3">
        <v>5042</v>
      </c>
      <c r="H142" s="3">
        <v>2083</v>
      </c>
      <c r="I142" s="3">
        <v>185</v>
      </c>
      <c r="J142">
        <v>360</v>
      </c>
      <c r="K142">
        <v>1</v>
      </c>
      <c r="L142" t="s">
        <v>18</v>
      </c>
      <c r="M142" t="s">
        <v>19</v>
      </c>
      <c r="N142">
        <f t="shared" si="12"/>
        <v>7125</v>
      </c>
      <c r="O142" t="str">
        <f t="shared" si="13"/>
        <v>Medium</v>
      </c>
      <c r="P142" s="4">
        <f t="shared" si="14"/>
        <v>2.5964912280701753E-2</v>
      </c>
      <c r="Q142" t="str">
        <f t="shared" si="15"/>
        <v>Medium</v>
      </c>
      <c r="R142" s="19">
        <f t="shared" si="16"/>
        <v>0</v>
      </c>
      <c r="S142" t="str">
        <f t="shared" si="17"/>
        <v>2</v>
      </c>
    </row>
    <row r="143" spans="1:19" x14ac:dyDescent="0.25">
      <c r="A143" t="s">
        <v>162</v>
      </c>
      <c r="B143" t="s">
        <v>11</v>
      </c>
      <c r="C143" t="s">
        <v>12</v>
      </c>
      <c r="D143">
        <v>0</v>
      </c>
      <c r="E143" t="s">
        <v>13</v>
      </c>
      <c r="F143" t="s">
        <v>12</v>
      </c>
      <c r="G143" s="3">
        <v>5417</v>
      </c>
      <c r="H143" s="3">
        <v>0</v>
      </c>
      <c r="I143" s="3">
        <v>168</v>
      </c>
      <c r="J143">
        <v>360</v>
      </c>
      <c r="K143">
        <v>1</v>
      </c>
      <c r="L143" t="s">
        <v>14</v>
      </c>
      <c r="M143" t="s">
        <v>15</v>
      </c>
      <c r="N143">
        <f t="shared" si="12"/>
        <v>5417</v>
      </c>
      <c r="O143" t="str">
        <f t="shared" si="13"/>
        <v>Medium</v>
      </c>
      <c r="P143" s="4">
        <f t="shared" si="14"/>
        <v>3.1013476093778844E-2</v>
      </c>
      <c r="Q143" t="str">
        <f t="shared" si="15"/>
        <v>Medium</v>
      </c>
      <c r="R143" s="19">
        <f t="shared" si="16"/>
        <v>1</v>
      </c>
      <c r="S143" t="str">
        <f t="shared" si="17"/>
        <v>1</v>
      </c>
    </row>
    <row r="144" spans="1:19" x14ac:dyDescent="0.25">
      <c r="A144" t="s">
        <v>163</v>
      </c>
      <c r="B144" t="s">
        <v>11</v>
      </c>
      <c r="C144" t="s">
        <v>12</v>
      </c>
      <c r="D144">
        <v>0</v>
      </c>
      <c r="E144" t="s">
        <v>13</v>
      </c>
      <c r="F144" t="s">
        <v>17</v>
      </c>
      <c r="G144" s="3">
        <v>6950</v>
      </c>
      <c r="H144" s="3">
        <v>0</v>
      </c>
      <c r="I144" s="3">
        <v>175</v>
      </c>
      <c r="J144">
        <v>180</v>
      </c>
      <c r="K144">
        <v>1</v>
      </c>
      <c r="L144" t="s">
        <v>27</v>
      </c>
      <c r="M144" t="s">
        <v>15</v>
      </c>
      <c r="N144">
        <f t="shared" si="12"/>
        <v>6950</v>
      </c>
      <c r="O144" t="str">
        <f t="shared" si="13"/>
        <v>Medium</v>
      </c>
      <c r="P144" s="4">
        <f t="shared" si="14"/>
        <v>2.5179856115107913E-2</v>
      </c>
      <c r="Q144" t="str">
        <f t="shared" si="15"/>
        <v>Medium</v>
      </c>
      <c r="R144" s="19">
        <f t="shared" si="16"/>
        <v>1</v>
      </c>
      <c r="S144" t="str">
        <f t="shared" si="17"/>
        <v>3</v>
      </c>
    </row>
    <row r="145" spans="1:19" x14ac:dyDescent="0.25">
      <c r="A145" t="s">
        <v>164</v>
      </c>
      <c r="B145" t="s">
        <v>11</v>
      </c>
      <c r="C145" t="s">
        <v>17</v>
      </c>
      <c r="D145">
        <v>0</v>
      </c>
      <c r="E145" t="s">
        <v>13</v>
      </c>
      <c r="F145" t="s">
        <v>12</v>
      </c>
      <c r="G145" s="3">
        <v>2698</v>
      </c>
      <c r="H145" s="3">
        <v>2034</v>
      </c>
      <c r="I145" s="3">
        <v>122</v>
      </c>
      <c r="J145">
        <v>360</v>
      </c>
      <c r="K145">
        <v>1</v>
      </c>
      <c r="L145" t="s">
        <v>27</v>
      </c>
      <c r="M145" t="s">
        <v>15</v>
      </c>
      <c r="N145">
        <f t="shared" si="12"/>
        <v>4732</v>
      </c>
      <c r="O145" t="str">
        <f t="shared" si="13"/>
        <v>Medium</v>
      </c>
      <c r="P145" s="4">
        <f t="shared" si="14"/>
        <v>2.5781910397295011E-2</v>
      </c>
      <c r="Q145" t="str">
        <f t="shared" si="15"/>
        <v>Medium</v>
      </c>
      <c r="R145" s="19">
        <f t="shared" si="16"/>
        <v>1</v>
      </c>
      <c r="S145" t="str">
        <f t="shared" si="17"/>
        <v>3</v>
      </c>
    </row>
    <row r="146" spans="1:19" x14ac:dyDescent="0.25">
      <c r="A146" t="s">
        <v>165</v>
      </c>
      <c r="B146" t="s">
        <v>11</v>
      </c>
      <c r="C146" t="s">
        <v>17</v>
      </c>
      <c r="D146">
        <v>2</v>
      </c>
      <c r="E146" t="s">
        <v>13</v>
      </c>
      <c r="F146" t="s">
        <v>12</v>
      </c>
      <c r="G146" s="3">
        <v>11757</v>
      </c>
      <c r="H146" s="3">
        <v>0</v>
      </c>
      <c r="I146" s="3">
        <v>187</v>
      </c>
      <c r="J146">
        <v>180</v>
      </c>
      <c r="K146">
        <v>1</v>
      </c>
      <c r="L146" t="s">
        <v>14</v>
      </c>
      <c r="M146" t="s">
        <v>15</v>
      </c>
      <c r="N146">
        <f t="shared" si="12"/>
        <v>11757</v>
      </c>
      <c r="O146" t="str">
        <f t="shared" si="13"/>
        <v>High</v>
      </c>
      <c r="P146" s="4">
        <f t="shared" si="14"/>
        <v>1.5905418048821979E-2</v>
      </c>
      <c r="Q146" t="str">
        <f t="shared" si="15"/>
        <v>Medium</v>
      </c>
      <c r="R146" s="19">
        <f t="shared" si="16"/>
        <v>1</v>
      </c>
      <c r="S146" t="str">
        <f t="shared" si="17"/>
        <v>1</v>
      </c>
    </row>
    <row r="147" spans="1:19" x14ac:dyDescent="0.25">
      <c r="A147" t="s">
        <v>166</v>
      </c>
      <c r="B147" t="s">
        <v>38</v>
      </c>
      <c r="C147" t="s">
        <v>17</v>
      </c>
      <c r="D147">
        <v>0</v>
      </c>
      <c r="E147" t="s">
        <v>13</v>
      </c>
      <c r="F147" t="s">
        <v>12</v>
      </c>
      <c r="G147" s="3">
        <v>2330</v>
      </c>
      <c r="H147" s="3">
        <v>4486</v>
      </c>
      <c r="I147" s="3">
        <v>100</v>
      </c>
      <c r="J147">
        <v>360</v>
      </c>
      <c r="K147">
        <v>1</v>
      </c>
      <c r="L147" t="s">
        <v>27</v>
      </c>
      <c r="M147" t="s">
        <v>15</v>
      </c>
      <c r="N147">
        <f t="shared" si="12"/>
        <v>6816</v>
      </c>
      <c r="O147" t="str">
        <f t="shared" si="13"/>
        <v>Medium</v>
      </c>
      <c r="P147" s="4">
        <f t="shared" si="14"/>
        <v>1.4671361502347418E-2</v>
      </c>
      <c r="Q147" t="str">
        <f t="shared" si="15"/>
        <v>Medium</v>
      </c>
      <c r="R147" s="19">
        <f t="shared" si="16"/>
        <v>1</v>
      </c>
      <c r="S147" t="str">
        <f t="shared" si="17"/>
        <v>3</v>
      </c>
    </row>
    <row r="148" spans="1:19" x14ac:dyDescent="0.25">
      <c r="A148" t="s">
        <v>167</v>
      </c>
      <c r="B148" t="s">
        <v>38</v>
      </c>
      <c r="C148" t="s">
        <v>17</v>
      </c>
      <c r="D148">
        <v>2</v>
      </c>
      <c r="E148" t="s">
        <v>13</v>
      </c>
      <c r="F148" t="s">
        <v>12</v>
      </c>
      <c r="G148" s="3">
        <v>14866</v>
      </c>
      <c r="H148" s="3">
        <v>0</v>
      </c>
      <c r="I148" s="3">
        <v>70</v>
      </c>
      <c r="J148">
        <v>360</v>
      </c>
      <c r="K148">
        <v>1</v>
      </c>
      <c r="L148" t="s">
        <v>14</v>
      </c>
      <c r="M148" t="s">
        <v>15</v>
      </c>
      <c r="N148">
        <f t="shared" si="12"/>
        <v>14866</v>
      </c>
      <c r="O148" t="str">
        <f t="shared" si="13"/>
        <v>High</v>
      </c>
      <c r="P148" s="4">
        <f t="shared" si="14"/>
        <v>4.7087313332436435E-3</v>
      </c>
      <c r="Q148" t="str">
        <f t="shared" si="15"/>
        <v>Small</v>
      </c>
      <c r="R148" s="19">
        <f t="shared" si="16"/>
        <v>1</v>
      </c>
      <c r="S148" t="str">
        <f t="shared" si="17"/>
        <v>1</v>
      </c>
    </row>
    <row r="149" spans="1:19" x14ac:dyDescent="0.25">
      <c r="A149" t="s">
        <v>168</v>
      </c>
      <c r="B149" t="s">
        <v>11</v>
      </c>
      <c r="C149" t="s">
        <v>17</v>
      </c>
      <c r="D149">
        <v>1</v>
      </c>
      <c r="E149" t="s">
        <v>13</v>
      </c>
      <c r="F149" t="s">
        <v>12</v>
      </c>
      <c r="G149" s="3">
        <v>1538</v>
      </c>
      <c r="H149" s="3">
        <v>1425</v>
      </c>
      <c r="I149" s="3">
        <v>30</v>
      </c>
      <c r="J149">
        <v>360</v>
      </c>
      <c r="K149">
        <v>1</v>
      </c>
      <c r="L149" t="s">
        <v>14</v>
      </c>
      <c r="M149" t="s">
        <v>15</v>
      </c>
      <c r="N149">
        <f t="shared" si="12"/>
        <v>2963</v>
      </c>
      <c r="O149" t="str">
        <f t="shared" si="13"/>
        <v>Low</v>
      </c>
      <c r="P149" s="4">
        <f t="shared" si="14"/>
        <v>1.0124873439082012E-2</v>
      </c>
      <c r="Q149" t="str">
        <f t="shared" si="15"/>
        <v>Small</v>
      </c>
      <c r="R149" s="19">
        <f t="shared" si="16"/>
        <v>1</v>
      </c>
      <c r="S149" t="str">
        <f t="shared" si="17"/>
        <v>1</v>
      </c>
    </row>
    <row r="150" spans="1:19" x14ac:dyDescent="0.25">
      <c r="A150" t="s">
        <v>169</v>
      </c>
      <c r="B150" t="s">
        <v>38</v>
      </c>
      <c r="C150" t="s">
        <v>12</v>
      </c>
      <c r="D150">
        <v>0</v>
      </c>
      <c r="E150" t="s">
        <v>13</v>
      </c>
      <c r="F150" t="s">
        <v>12</v>
      </c>
      <c r="G150" s="3">
        <v>10000</v>
      </c>
      <c r="H150" s="3">
        <v>1666</v>
      </c>
      <c r="I150" s="3">
        <v>225</v>
      </c>
      <c r="J150">
        <v>360</v>
      </c>
      <c r="K150">
        <v>1</v>
      </c>
      <c r="L150" t="s">
        <v>18</v>
      </c>
      <c r="M150" t="s">
        <v>19</v>
      </c>
      <c r="N150">
        <f t="shared" si="12"/>
        <v>11666</v>
      </c>
      <c r="O150" t="str">
        <f t="shared" si="13"/>
        <v>High</v>
      </c>
      <c r="P150" s="4">
        <f t="shared" si="14"/>
        <v>1.9286816389507973E-2</v>
      </c>
      <c r="Q150" t="str">
        <f t="shared" si="15"/>
        <v>Large</v>
      </c>
      <c r="R150" s="19">
        <f t="shared" si="16"/>
        <v>0</v>
      </c>
      <c r="S150" t="str">
        <f t="shared" si="17"/>
        <v>2</v>
      </c>
    </row>
    <row r="151" spans="1:19" x14ac:dyDescent="0.25">
      <c r="A151" t="s">
        <v>170</v>
      </c>
      <c r="B151" t="s">
        <v>11</v>
      </c>
      <c r="C151" t="s">
        <v>17</v>
      </c>
      <c r="D151">
        <v>0</v>
      </c>
      <c r="E151" t="s">
        <v>13</v>
      </c>
      <c r="F151" t="s">
        <v>12</v>
      </c>
      <c r="G151" s="3">
        <v>4860</v>
      </c>
      <c r="H151" s="3">
        <v>830</v>
      </c>
      <c r="I151" s="3">
        <v>125</v>
      </c>
      <c r="J151">
        <v>360</v>
      </c>
      <c r="K151">
        <v>1</v>
      </c>
      <c r="L151" t="s">
        <v>27</v>
      </c>
      <c r="M151" t="s">
        <v>15</v>
      </c>
      <c r="N151">
        <f t="shared" si="12"/>
        <v>5690</v>
      </c>
      <c r="O151" t="str">
        <f t="shared" si="13"/>
        <v>Medium</v>
      </c>
      <c r="P151" s="4">
        <f t="shared" si="14"/>
        <v>2.1968365553602813E-2</v>
      </c>
      <c r="Q151" t="str">
        <f t="shared" si="15"/>
        <v>Medium</v>
      </c>
      <c r="R151" s="19">
        <f t="shared" si="16"/>
        <v>1</v>
      </c>
      <c r="S151" t="str">
        <f t="shared" si="17"/>
        <v>3</v>
      </c>
    </row>
    <row r="152" spans="1:19" x14ac:dyDescent="0.25">
      <c r="A152" t="s">
        <v>171</v>
      </c>
      <c r="B152" t="s">
        <v>11</v>
      </c>
      <c r="C152" t="s">
        <v>12</v>
      </c>
      <c r="D152">
        <v>0</v>
      </c>
      <c r="E152" t="s">
        <v>13</v>
      </c>
      <c r="F152" t="s">
        <v>12</v>
      </c>
      <c r="G152" s="3">
        <v>6277</v>
      </c>
      <c r="H152" s="3">
        <v>0</v>
      </c>
      <c r="I152" s="3">
        <v>118</v>
      </c>
      <c r="J152">
        <v>360</v>
      </c>
      <c r="K152">
        <v>0</v>
      </c>
      <c r="L152" t="s">
        <v>18</v>
      </c>
      <c r="M152" t="s">
        <v>19</v>
      </c>
      <c r="N152">
        <f t="shared" si="12"/>
        <v>6277</v>
      </c>
      <c r="O152" t="str">
        <f t="shared" si="13"/>
        <v>Medium</v>
      </c>
      <c r="P152" s="4">
        <f t="shared" si="14"/>
        <v>1.8798789230524134E-2</v>
      </c>
      <c r="Q152" t="str">
        <f t="shared" si="15"/>
        <v>Medium</v>
      </c>
      <c r="R152" s="19">
        <f t="shared" si="16"/>
        <v>0</v>
      </c>
      <c r="S152" t="str">
        <f t="shared" si="17"/>
        <v>2</v>
      </c>
    </row>
    <row r="153" spans="1:19" x14ac:dyDescent="0.25">
      <c r="A153" t="s">
        <v>172</v>
      </c>
      <c r="B153" t="s">
        <v>11</v>
      </c>
      <c r="C153" t="s">
        <v>17</v>
      </c>
      <c r="D153">
        <v>0</v>
      </c>
      <c r="E153" t="s">
        <v>13</v>
      </c>
      <c r="F153" t="s">
        <v>17</v>
      </c>
      <c r="G153" s="3">
        <v>2577</v>
      </c>
      <c r="H153" s="3">
        <v>3750</v>
      </c>
      <c r="I153" s="3">
        <v>152</v>
      </c>
      <c r="J153">
        <v>360</v>
      </c>
      <c r="K153">
        <v>1</v>
      </c>
      <c r="L153" t="s">
        <v>18</v>
      </c>
      <c r="M153" t="s">
        <v>15</v>
      </c>
      <c r="N153">
        <f t="shared" si="12"/>
        <v>6327</v>
      </c>
      <c r="O153" t="str">
        <f t="shared" si="13"/>
        <v>Medium</v>
      </c>
      <c r="P153" s="4">
        <f t="shared" si="14"/>
        <v>2.4024024024024024E-2</v>
      </c>
      <c r="Q153" t="str">
        <f t="shared" si="15"/>
        <v>Medium</v>
      </c>
      <c r="R153" s="19">
        <f t="shared" si="16"/>
        <v>1</v>
      </c>
      <c r="S153" t="str">
        <f t="shared" si="17"/>
        <v>2</v>
      </c>
    </row>
    <row r="154" spans="1:19" x14ac:dyDescent="0.25">
      <c r="A154" t="s">
        <v>173</v>
      </c>
      <c r="B154" t="s">
        <v>11</v>
      </c>
      <c r="C154" t="s">
        <v>12</v>
      </c>
      <c r="D154">
        <v>0</v>
      </c>
      <c r="E154" t="s">
        <v>13</v>
      </c>
      <c r="F154" t="s">
        <v>12</v>
      </c>
      <c r="G154" s="3">
        <v>9166</v>
      </c>
      <c r="H154" s="3">
        <v>0</v>
      </c>
      <c r="I154" s="3">
        <v>244</v>
      </c>
      <c r="J154">
        <v>360</v>
      </c>
      <c r="K154">
        <v>1</v>
      </c>
      <c r="L154" t="s">
        <v>14</v>
      </c>
      <c r="M154" t="s">
        <v>19</v>
      </c>
      <c r="N154">
        <f t="shared" si="12"/>
        <v>9166</v>
      </c>
      <c r="O154" t="str">
        <f t="shared" si="13"/>
        <v>High</v>
      </c>
      <c r="P154" s="4">
        <f t="shared" si="14"/>
        <v>2.6620117826751038E-2</v>
      </c>
      <c r="Q154" t="str">
        <f t="shared" si="15"/>
        <v>Large</v>
      </c>
      <c r="R154" s="19">
        <f t="shared" si="16"/>
        <v>0</v>
      </c>
      <c r="S154" t="str">
        <f t="shared" si="17"/>
        <v>1</v>
      </c>
    </row>
    <row r="155" spans="1:19" x14ac:dyDescent="0.25">
      <c r="A155" t="s">
        <v>174</v>
      </c>
      <c r="B155" t="s">
        <v>11</v>
      </c>
      <c r="C155" t="s">
        <v>17</v>
      </c>
      <c r="D155">
        <v>2</v>
      </c>
      <c r="E155" t="s">
        <v>22</v>
      </c>
      <c r="F155" t="s">
        <v>12</v>
      </c>
      <c r="G155" s="3">
        <v>2281</v>
      </c>
      <c r="H155" s="3">
        <v>0</v>
      </c>
      <c r="I155" s="3">
        <v>113</v>
      </c>
      <c r="J155">
        <v>360</v>
      </c>
      <c r="K155">
        <v>1</v>
      </c>
      <c r="L155" t="s">
        <v>18</v>
      </c>
      <c r="M155" t="s">
        <v>19</v>
      </c>
      <c r="N155">
        <f t="shared" si="12"/>
        <v>2281</v>
      </c>
      <c r="O155" t="str">
        <f t="shared" si="13"/>
        <v>Low</v>
      </c>
      <c r="P155" s="4">
        <f t="shared" si="14"/>
        <v>4.9539675580885574E-2</v>
      </c>
      <c r="Q155" t="str">
        <f t="shared" si="15"/>
        <v>Medium</v>
      </c>
      <c r="R155" s="19">
        <f t="shared" si="16"/>
        <v>0</v>
      </c>
      <c r="S155" t="str">
        <f t="shared" si="17"/>
        <v>2</v>
      </c>
    </row>
    <row r="156" spans="1:19" x14ac:dyDescent="0.25">
      <c r="A156" t="s">
        <v>175</v>
      </c>
      <c r="B156" t="s">
        <v>11</v>
      </c>
      <c r="C156" t="s">
        <v>12</v>
      </c>
      <c r="D156">
        <v>0</v>
      </c>
      <c r="E156" t="s">
        <v>13</v>
      </c>
      <c r="F156" t="s">
        <v>12</v>
      </c>
      <c r="G156" s="3">
        <v>3254</v>
      </c>
      <c r="H156" s="3">
        <v>0</v>
      </c>
      <c r="I156" s="3">
        <v>50</v>
      </c>
      <c r="J156">
        <v>360</v>
      </c>
      <c r="K156">
        <v>1</v>
      </c>
      <c r="L156" t="s">
        <v>14</v>
      </c>
      <c r="M156" t="s">
        <v>15</v>
      </c>
      <c r="N156">
        <f t="shared" si="12"/>
        <v>3254</v>
      </c>
      <c r="O156" t="str">
        <f t="shared" si="13"/>
        <v>Low</v>
      </c>
      <c r="P156" s="4">
        <f t="shared" si="14"/>
        <v>1.5365703749231715E-2</v>
      </c>
      <c r="Q156" t="str">
        <f t="shared" si="15"/>
        <v>Small</v>
      </c>
      <c r="R156" s="19">
        <f t="shared" si="16"/>
        <v>1</v>
      </c>
      <c r="S156" t="str">
        <f t="shared" si="17"/>
        <v>1</v>
      </c>
    </row>
    <row r="157" spans="1:19" x14ac:dyDescent="0.25">
      <c r="A157" t="s">
        <v>176</v>
      </c>
      <c r="B157" t="s">
        <v>11</v>
      </c>
      <c r="C157" t="s">
        <v>17</v>
      </c>
      <c r="D157">
        <v>3</v>
      </c>
      <c r="E157" t="s">
        <v>13</v>
      </c>
      <c r="F157" t="s">
        <v>12</v>
      </c>
      <c r="G157" s="3">
        <v>39999</v>
      </c>
      <c r="H157" s="3">
        <v>0</v>
      </c>
      <c r="I157" s="3">
        <v>600</v>
      </c>
      <c r="J157">
        <v>180</v>
      </c>
      <c r="K157">
        <v>0</v>
      </c>
      <c r="L157" t="s">
        <v>27</v>
      </c>
      <c r="M157" t="s">
        <v>15</v>
      </c>
      <c r="N157">
        <f t="shared" si="12"/>
        <v>39999</v>
      </c>
      <c r="O157" t="str">
        <f t="shared" si="13"/>
        <v>High</v>
      </c>
      <c r="P157" s="4">
        <f t="shared" si="14"/>
        <v>1.5000375009375235E-2</v>
      </c>
      <c r="Q157" t="str">
        <f t="shared" si="15"/>
        <v>Large</v>
      </c>
      <c r="R157" s="19">
        <f t="shared" si="16"/>
        <v>1</v>
      </c>
      <c r="S157" t="str">
        <f t="shared" si="17"/>
        <v>3</v>
      </c>
    </row>
    <row r="158" spans="1:19" x14ac:dyDescent="0.25">
      <c r="A158" t="s">
        <v>177</v>
      </c>
      <c r="B158" t="s">
        <v>11</v>
      </c>
      <c r="C158" t="s">
        <v>17</v>
      </c>
      <c r="D158">
        <v>1</v>
      </c>
      <c r="E158" t="s">
        <v>13</v>
      </c>
      <c r="F158" t="s">
        <v>12</v>
      </c>
      <c r="G158" s="3">
        <v>6000</v>
      </c>
      <c r="H158" s="3">
        <v>0</v>
      </c>
      <c r="I158" s="3">
        <v>160</v>
      </c>
      <c r="J158">
        <v>360</v>
      </c>
      <c r="K158">
        <v>1</v>
      </c>
      <c r="L158" t="s">
        <v>18</v>
      </c>
      <c r="M158" t="s">
        <v>15</v>
      </c>
      <c r="N158">
        <f t="shared" si="12"/>
        <v>6000</v>
      </c>
      <c r="O158" t="str">
        <f t="shared" si="13"/>
        <v>Medium</v>
      </c>
      <c r="P158" s="4">
        <f t="shared" si="14"/>
        <v>2.6666666666666668E-2</v>
      </c>
      <c r="Q158" t="str">
        <f t="shared" si="15"/>
        <v>Medium</v>
      </c>
      <c r="R158" s="19">
        <f t="shared" si="16"/>
        <v>1</v>
      </c>
      <c r="S158" t="str">
        <f t="shared" si="17"/>
        <v>2</v>
      </c>
    </row>
    <row r="159" spans="1:19" x14ac:dyDescent="0.25">
      <c r="A159" t="s">
        <v>178</v>
      </c>
      <c r="B159" t="s">
        <v>11</v>
      </c>
      <c r="C159" t="s">
        <v>17</v>
      </c>
      <c r="D159">
        <v>1</v>
      </c>
      <c r="E159" t="s">
        <v>13</v>
      </c>
      <c r="F159" t="s">
        <v>12</v>
      </c>
      <c r="G159" s="3">
        <v>9538</v>
      </c>
      <c r="H159" s="3">
        <v>0</v>
      </c>
      <c r="I159" s="3">
        <v>187</v>
      </c>
      <c r="J159">
        <v>360</v>
      </c>
      <c r="K159">
        <v>1</v>
      </c>
      <c r="L159" t="s">
        <v>14</v>
      </c>
      <c r="M159" t="s">
        <v>15</v>
      </c>
      <c r="N159">
        <f t="shared" si="12"/>
        <v>9538</v>
      </c>
      <c r="O159" t="str">
        <f t="shared" si="13"/>
        <v>High</v>
      </c>
      <c r="P159" s="4">
        <f t="shared" si="14"/>
        <v>1.9605787376808556E-2</v>
      </c>
      <c r="Q159" t="str">
        <f t="shared" si="15"/>
        <v>Medium</v>
      </c>
      <c r="R159" s="19">
        <f t="shared" si="16"/>
        <v>1</v>
      </c>
      <c r="S159" t="str">
        <f t="shared" si="17"/>
        <v>1</v>
      </c>
    </row>
    <row r="160" spans="1:19" x14ac:dyDescent="0.25">
      <c r="A160" t="s">
        <v>179</v>
      </c>
      <c r="B160" t="s">
        <v>11</v>
      </c>
      <c r="C160" t="s">
        <v>12</v>
      </c>
      <c r="D160">
        <v>0</v>
      </c>
      <c r="E160" t="s">
        <v>13</v>
      </c>
      <c r="F160" t="s">
        <v>12</v>
      </c>
      <c r="G160" s="3">
        <v>2980</v>
      </c>
      <c r="H160" s="3">
        <v>2083</v>
      </c>
      <c r="I160" s="3">
        <v>120</v>
      </c>
      <c r="J160">
        <v>360</v>
      </c>
      <c r="K160">
        <v>1</v>
      </c>
      <c r="L160" t="s">
        <v>18</v>
      </c>
      <c r="M160" t="s">
        <v>15</v>
      </c>
      <c r="N160">
        <f t="shared" si="12"/>
        <v>5063</v>
      </c>
      <c r="O160" t="str">
        <f t="shared" si="13"/>
        <v>Medium</v>
      </c>
      <c r="P160" s="4">
        <f t="shared" si="14"/>
        <v>2.3701362828362632E-2</v>
      </c>
      <c r="Q160" t="str">
        <f t="shared" si="15"/>
        <v>Medium</v>
      </c>
      <c r="R160" s="19">
        <f t="shared" si="16"/>
        <v>1</v>
      </c>
      <c r="S160" t="str">
        <f t="shared" si="17"/>
        <v>2</v>
      </c>
    </row>
    <row r="161" spans="1:19" x14ac:dyDescent="0.25">
      <c r="A161" t="s">
        <v>180</v>
      </c>
      <c r="B161" t="s">
        <v>11</v>
      </c>
      <c r="C161" t="s">
        <v>17</v>
      </c>
      <c r="D161">
        <v>0</v>
      </c>
      <c r="E161" t="s">
        <v>13</v>
      </c>
      <c r="F161" t="s">
        <v>12</v>
      </c>
      <c r="G161" s="3">
        <v>4583</v>
      </c>
      <c r="H161" s="3">
        <v>5625</v>
      </c>
      <c r="I161" s="3">
        <v>255</v>
      </c>
      <c r="J161">
        <v>360</v>
      </c>
      <c r="K161">
        <v>1</v>
      </c>
      <c r="L161" t="s">
        <v>27</v>
      </c>
      <c r="M161" t="s">
        <v>15</v>
      </c>
      <c r="N161">
        <f t="shared" si="12"/>
        <v>10208</v>
      </c>
      <c r="O161" t="str">
        <f t="shared" si="13"/>
        <v>High</v>
      </c>
      <c r="P161" s="4">
        <f t="shared" si="14"/>
        <v>2.498040752351097E-2</v>
      </c>
      <c r="Q161" t="str">
        <f t="shared" si="15"/>
        <v>Large</v>
      </c>
      <c r="R161" s="19">
        <f t="shared" si="16"/>
        <v>1</v>
      </c>
      <c r="S161" t="str">
        <f t="shared" si="17"/>
        <v>3</v>
      </c>
    </row>
    <row r="162" spans="1:19" x14ac:dyDescent="0.25">
      <c r="A162" t="s">
        <v>181</v>
      </c>
      <c r="B162" t="s">
        <v>11</v>
      </c>
      <c r="C162" t="s">
        <v>17</v>
      </c>
      <c r="D162">
        <v>0</v>
      </c>
      <c r="E162" t="s">
        <v>22</v>
      </c>
      <c r="F162" t="s">
        <v>12</v>
      </c>
      <c r="G162" s="3">
        <v>1863</v>
      </c>
      <c r="H162" s="3">
        <v>1041</v>
      </c>
      <c r="I162" s="3">
        <v>98</v>
      </c>
      <c r="J162">
        <v>360</v>
      </c>
      <c r="K162">
        <v>1</v>
      </c>
      <c r="L162" t="s">
        <v>27</v>
      </c>
      <c r="M162" t="s">
        <v>15</v>
      </c>
      <c r="N162">
        <f t="shared" si="12"/>
        <v>2904</v>
      </c>
      <c r="O162" t="str">
        <f t="shared" si="13"/>
        <v>Low</v>
      </c>
      <c r="P162" s="4">
        <f t="shared" si="14"/>
        <v>3.3746556473829202E-2</v>
      </c>
      <c r="Q162" t="str">
        <f t="shared" si="15"/>
        <v>Small</v>
      </c>
      <c r="R162" s="19">
        <f t="shared" si="16"/>
        <v>1</v>
      </c>
      <c r="S162" t="str">
        <f t="shared" si="17"/>
        <v>3</v>
      </c>
    </row>
    <row r="163" spans="1:19" x14ac:dyDescent="0.25">
      <c r="A163" t="s">
        <v>182</v>
      </c>
      <c r="B163" t="s">
        <v>11</v>
      </c>
      <c r="C163" t="s">
        <v>17</v>
      </c>
      <c r="D163">
        <v>0</v>
      </c>
      <c r="E163" t="s">
        <v>13</v>
      </c>
      <c r="F163" t="s">
        <v>12</v>
      </c>
      <c r="G163" s="3">
        <v>7933</v>
      </c>
      <c r="H163" s="3">
        <v>0</v>
      </c>
      <c r="I163" s="3">
        <v>275</v>
      </c>
      <c r="J163">
        <v>360</v>
      </c>
      <c r="K163">
        <v>1</v>
      </c>
      <c r="L163" t="s">
        <v>14</v>
      </c>
      <c r="M163" t="s">
        <v>19</v>
      </c>
      <c r="N163">
        <f t="shared" si="12"/>
        <v>7933</v>
      </c>
      <c r="O163" t="str">
        <f t="shared" si="13"/>
        <v>Medium</v>
      </c>
      <c r="P163" s="4">
        <f t="shared" si="14"/>
        <v>3.4665322072355981E-2</v>
      </c>
      <c r="Q163" t="str">
        <f t="shared" si="15"/>
        <v>Large</v>
      </c>
      <c r="R163" s="19">
        <f t="shared" si="16"/>
        <v>0</v>
      </c>
      <c r="S163" t="str">
        <f t="shared" si="17"/>
        <v>1</v>
      </c>
    </row>
    <row r="164" spans="1:19" x14ac:dyDescent="0.25">
      <c r="A164" t="s">
        <v>183</v>
      </c>
      <c r="B164" t="s">
        <v>11</v>
      </c>
      <c r="C164" t="s">
        <v>17</v>
      </c>
      <c r="D164">
        <v>1</v>
      </c>
      <c r="E164" t="s">
        <v>13</v>
      </c>
      <c r="F164" t="s">
        <v>12</v>
      </c>
      <c r="G164" s="3">
        <v>3089</v>
      </c>
      <c r="H164" s="3">
        <v>1280</v>
      </c>
      <c r="I164" s="3">
        <v>121</v>
      </c>
      <c r="J164">
        <v>360</v>
      </c>
      <c r="K164">
        <v>0</v>
      </c>
      <c r="L164" t="s">
        <v>27</v>
      </c>
      <c r="M164" t="s">
        <v>19</v>
      </c>
      <c r="N164">
        <f t="shared" si="12"/>
        <v>4369</v>
      </c>
      <c r="O164" t="str">
        <f t="shared" si="13"/>
        <v>Medium</v>
      </c>
      <c r="P164" s="4">
        <f t="shared" si="14"/>
        <v>2.7695124742504004E-2</v>
      </c>
      <c r="Q164" t="str">
        <f t="shared" si="15"/>
        <v>Medium</v>
      </c>
      <c r="R164" s="19">
        <f t="shared" si="16"/>
        <v>0</v>
      </c>
      <c r="S164" t="str">
        <f t="shared" si="17"/>
        <v>3</v>
      </c>
    </row>
    <row r="165" spans="1:19" x14ac:dyDescent="0.25">
      <c r="A165" t="s">
        <v>184</v>
      </c>
      <c r="B165" t="s">
        <v>11</v>
      </c>
      <c r="C165" t="s">
        <v>17</v>
      </c>
      <c r="D165">
        <v>2</v>
      </c>
      <c r="E165" t="s">
        <v>13</v>
      </c>
      <c r="F165" t="s">
        <v>12</v>
      </c>
      <c r="G165" s="3">
        <v>4167</v>
      </c>
      <c r="H165" s="3">
        <v>1447</v>
      </c>
      <c r="I165" s="3">
        <v>158</v>
      </c>
      <c r="J165">
        <v>360</v>
      </c>
      <c r="K165">
        <v>1</v>
      </c>
      <c r="L165" t="s">
        <v>18</v>
      </c>
      <c r="M165" t="s">
        <v>15</v>
      </c>
      <c r="N165">
        <f t="shared" si="12"/>
        <v>5614</v>
      </c>
      <c r="O165" t="str">
        <f t="shared" si="13"/>
        <v>Medium</v>
      </c>
      <c r="P165" s="4">
        <f t="shared" si="14"/>
        <v>2.8143925899536872E-2</v>
      </c>
      <c r="Q165" t="str">
        <f t="shared" si="15"/>
        <v>Medium</v>
      </c>
      <c r="R165" s="19">
        <f t="shared" si="16"/>
        <v>1</v>
      </c>
      <c r="S165" t="str">
        <f t="shared" si="17"/>
        <v>2</v>
      </c>
    </row>
    <row r="166" spans="1:19" x14ac:dyDescent="0.25">
      <c r="A166" t="s">
        <v>185</v>
      </c>
      <c r="B166" t="s">
        <v>11</v>
      </c>
      <c r="C166" t="s">
        <v>17</v>
      </c>
      <c r="D166">
        <v>0</v>
      </c>
      <c r="E166" t="s">
        <v>13</v>
      </c>
      <c r="F166" t="s">
        <v>12</v>
      </c>
      <c r="G166" s="3">
        <v>9323</v>
      </c>
      <c r="H166" s="3">
        <v>0</v>
      </c>
      <c r="I166" s="3">
        <v>75</v>
      </c>
      <c r="J166">
        <v>180</v>
      </c>
      <c r="K166">
        <v>1</v>
      </c>
      <c r="L166" t="s">
        <v>14</v>
      </c>
      <c r="M166" t="s">
        <v>15</v>
      </c>
      <c r="N166">
        <f t="shared" si="12"/>
        <v>9323</v>
      </c>
      <c r="O166" t="str">
        <f t="shared" si="13"/>
        <v>High</v>
      </c>
      <c r="P166" s="4">
        <f t="shared" si="14"/>
        <v>8.044620830204869E-3</v>
      </c>
      <c r="Q166" t="str">
        <f t="shared" si="15"/>
        <v>Small</v>
      </c>
      <c r="R166" s="19">
        <f t="shared" si="16"/>
        <v>1</v>
      </c>
      <c r="S166" t="str">
        <f t="shared" si="17"/>
        <v>1</v>
      </c>
    </row>
    <row r="167" spans="1:19" x14ac:dyDescent="0.25">
      <c r="A167" t="s">
        <v>186</v>
      </c>
      <c r="B167" t="s">
        <v>11</v>
      </c>
      <c r="C167" t="s">
        <v>17</v>
      </c>
      <c r="D167">
        <v>0</v>
      </c>
      <c r="E167" t="s">
        <v>13</v>
      </c>
      <c r="F167" t="s">
        <v>12</v>
      </c>
      <c r="G167" s="3">
        <v>3707</v>
      </c>
      <c r="H167" s="3">
        <v>3166</v>
      </c>
      <c r="I167" s="3">
        <v>182</v>
      </c>
      <c r="J167">
        <v>360</v>
      </c>
      <c r="K167">
        <v>1</v>
      </c>
      <c r="L167" t="s">
        <v>18</v>
      </c>
      <c r="M167" t="s">
        <v>15</v>
      </c>
      <c r="N167">
        <f t="shared" si="12"/>
        <v>6873</v>
      </c>
      <c r="O167" t="str">
        <f t="shared" si="13"/>
        <v>Medium</v>
      </c>
      <c r="P167" s="4">
        <f t="shared" si="14"/>
        <v>2.648043067074058E-2</v>
      </c>
      <c r="Q167" t="str">
        <f t="shared" si="15"/>
        <v>Medium</v>
      </c>
      <c r="R167" s="19">
        <f t="shared" si="16"/>
        <v>1</v>
      </c>
      <c r="S167" t="str">
        <f t="shared" si="17"/>
        <v>2</v>
      </c>
    </row>
    <row r="168" spans="1:19" x14ac:dyDescent="0.25">
      <c r="A168" t="s">
        <v>187</v>
      </c>
      <c r="B168" t="s">
        <v>38</v>
      </c>
      <c r="C168" t="s">
        <v>17</v>
      </c>
      <c r="D168">
        <v>0</v>
      </c>
      <c r="E168" t="s">
        <v>13</v>
      </c>
      <c r="F168" t="s">
        <v>12</v>
      </c>
      <c r="G168" s="3">
        <v>4583</v>
      </c>
      <c r="H168" s="3">
        <v>0</v>
      </c>
      <c r="I168" s="3">
        <v>112</v>
      </c>
      <c r="J168">
        <v>360</v>
      </c>
      <c r="K168">
        <v>1</v>
      </c>
      <c r="L168" t="s">
        <v>18</v>
      </c>
      <c r="M168" t="s">
        <v>19</v>
      </c>
      <c r="N168">
        <f t="shared" si="12"/>
        <v>4583</v>
      </c>
      <c r="O168" t="str">
        <f t="shared" si="13"/>
        <v>Medium</v>
      </c>
      <c r="P168" s="4">
        <f t="shared" si="14"/>
        <v>2.4438140955705869E-2</v>
      </c>
      <c r="Q168" t="str">
        <f t="shared" si="15"/>
        <v>Medium</v>
      </c>
      <c r="R168" s="19">
        <f t="shared" si="16"/>
        <v>0</v>
      </c>
      <c r="S168" t="str">
        <f t="shared" si="17"/>
        <v>2</v>
      </c>
    </row>
    <row r="169" spans="1:19" x14ac:dyDescent="0.25">
      <c r="A169" t="s">
        <v>188</v>
      </c>
      <c r="B169" t="s">
        <v>11</v>
      </c>
      <c r="C169" t="s">
        <v>17</v>
      </c>
      <c r="D169">
        <v>0</v>
      </c>
      <c r="E169" t="s">
        <v>13</v>
      </c>
      <c r="F169" t="s">
        <v>12</v>
      </c>
      <c r="G169" s="3">
        <v>2439</v>
      </c>
      <c r="H169" s="3">
        <v>3333</v>
      </c>
      <c r="I169" s="3">
        <v>129</v>
      </c>
      <c r="J169">
        <v>360</v>
      </c>
      <c r="K169">
        <v>1</v>
      </c>
      <c r="L169" t="s">
        <v>18</v>
      </c>
      <c r="M169" t="s">
        <v>15</v>
      </c>
      <c r="N169">
        <f t="shared" si="12"/>
        <v>5772</v>
      </c>
      <c r="O169" t="str">
        <f t="shared" si="13"/>
        <v>Medium</v>
      </c>
      <c r="P169" s="4">
        <f t="shared" si="14"/>
        <v>2.2349272349272351E-2</v>
      </c>
      <c r="Q169" t="str">
        <f t="shared" si="15"/>
        <v>Medium</v>
      </c>
      <c r="R169" s="19">
        <f t="shared" si="16"/>
        <v>1</v>
      </c>
      <c r="S169" t="str">
        <f t="shared" si="17"/>
        <v>2</v>
      </c>
    </row>
    <row r="170" spans="1:19" x14ac:dyDescent="0.25">
      <c r="A170" t="s">
        <v>189</v>
      </c>
      <c r="B170" t="s">
        <v>11</v>
      </c>
      <c r="C170" t="s">
        <v>12</v>
      </c>
      <c r="D170">
        <v>0</v>
      </c>
      <c r="E170" t="s">
        <v>13</v>
      </c>
      <c r="F170" t="s">
        <v>12</v>
      </c>
      <c r="G170" s="3">
        <v>2237</v>
      </c>
      <c r="H170" s="3">
        <v>0</v>
      </c>
      <c r="I170" s="3">
        <v>63</v>
      </c>
      <c r="J170">
        <v>480</v>
      </c>
      <c r="K170">
        <v>0</v>
      </c>
      <c r="L170" t="s">
        <v>27</v>
      </c>
      <c r="M170" t="s">
        <v>19</v>
      </c>
      <c r="N170">
        <f t="shared" si="12"/>
        <v>2237</v>
      </c>
      <c r="O170" t="str">
        <f t="shared" si="13"/>
        <v>Low</v>
      </c>
      <c r="P170" s="4">
        <f t="shared" si="14"/>
        <v>2.8162717925793473E-2</v>
      </c>
      <c r="Q170" t="str">
        <f t="shared" si="15"/>
        <v>Small</v>
      </c>
      <c r="R170" s="19">
        <f t="shared" si="16"/>
        <v>0</v>
      </c>
      <c r="S170" t="str">
        <f t="shared" si="17"/>
        <v>3</v>
      </c>
    </row>
    <row r="171" spans="1:19" x14ac:dyDescent="0.25">
      <c r="A171" t="s">
        <v>190</v>
      </c>
      <c r="B171" t="s">
        <v>11</v>
      </c>
      <c r="C171" t="s">
        <v>17</v>
      </c>
      <c r="D171">
        <v>2</v>
      </c>
      <c r="E171" t="s">
        <v>13</v>
      </c>
      <c r="F171" t="s">
        <v>12</v>
      </c>
      <c r="G171" s="3">
        <v>8000</v>
      </c>
      <c r="H171" s="3">
        <v>0</v>
      </c>
      <c r="I171" s="3">
        <v>200</v>
      </c>
      <c r="J171">
        <v>360</v>
      </c>
      <c r="K171">
        <v>1</v>
      </c>
      <c r="L171" t="s">
        <v>27</v>
      </c>
      <c r="M171" t="s">
        <v>15</v>
      </c>
      <c r="N171">
        <f t="shared" si="12"/>
        <v>8000</v>
      </c>
      <c r="O171" t="str">
        <f t="shared" si="13"/>
        <v>High</v>
      </c>
      <c r="P171" s="4">
        <f t="shared" si="14"/>
        <v>2.5000000000000001E-2</v>
      </c>
      <c r="Q171" t="str">
        <f t="shared" si="15"/>
        <v>Large</v>
      </c>
      <c r="R171" s="19">
        <f t="shared" si="16"/>
        <v>1</v>
      </c>
      <c r="S171" t="str">
        <f t="shared" si="17"/>
        <v>3</v>
      </c>
    </row>
    <row r="172" spans="1:19" x14ac:dyDescent="0.25">
      <c r="A172" t="s">
        <v>191</v>
      </c>
      <c r="B172" t="s">
        <v>11</v>
      </c>
      <c r="C172" t="s">
        <v>17</v>
      </c>
      <c r="D172">
        <v>0</v>
      </c>
      <c r="E172" t="s">
        <v>22</v>
      </c>
      <c r="F172" t="s">
        <v>12</v>
      </c>
      <c r="G172" s="3">
        <v>1820</v>
      </c>
      <c r="H172" s="3">
        <v>1769</v>
      </c>
      <c r="I172" s="3">
        <v>95</v>
      </c>
      <c r="J172">
        <v>360</v>
      </c>
      <c r="K172">
        <v>1</v>
      </c>
      <c r="L172" t="s">
        <v>18</v>
      </c>
      <c r="M172" t="s">
        <v>15</v>
      </c>
      <c r="N172">
        <f t="shared" si="12"/>
        <v>3589</v>
      </c>
      <c r="O172" t="str">
        <f t="shared" si="13"/>
        <v>Low</v>
      </c>
      <c r="P172" s="4">
        <f t="shared" si="14"/>
        <v>2.6469768737809974E-2</v>
      </c>
      <c r="Q172" t="str">
        <f t="shared" si="15"/>
        <v>Small</v>
      </c>
      <c r="R172" s="19">
        <f t="shared" si="16"/>
        <v>1</v>
      </c>
      <c r="S172" t="str">
        <f t="shared" si="17"/>
        <v>2</v>
      </c>
    </row>
    <row r="173" spans="1:19" x14ac:dyDescent="0.25">
      <c r="A173" t="s">
        <v>192</v>
      </c>
      <c r="B173" t="s">
        <v>38</v>
      </c>
      <c r="C173" t="s">
        <v>17</v>
      </c>
      <c r="D173">
        <v>3</v>
      </c>
      <c r="E173" t="s">
        <v>13</v>
      </c>
      <c r="F173" t="s">
        <v>12</v>
      </c>
      <c r="G173" s="3">
        <v>51763</v>
      </c>
      <c r="H173" s="3">
        <v>0</v>
      </c>
      <c r="I173" s="3">
        <v>700</v>
      </c>
      <c r="J173">
        <v>300</v>
      </c>
      <c r="K173">
        <v>1</v>
      </c>
      <c r="L173" t="s">
        <v>14</v>
      </c>
      <c r="M173" t="s">
        <v>15</v>
      </c>
      <c r="N173">
        <f t="shared" si="12"/>
        <v>51763</v>
      </c>
      <c r="O173" t="str">
        <f t="shared" si="13"/>
        <v>High</v>
      </c>
      <c r="P173" s="4">
        <f t="shared" si="14"/>
        <v>1.3523172922744044E-2</v>
      </c>
      <c r="Q173" t="str">
        <f t="shared" si="15"/>
        <v>Large</v>
      </c>
      <c r="R173" s="19">
        <f t="shared" si="16"/>
        <v>1</v>
      </c>
      <c r="S173" t="str">
        <f t="shared" si="17"/>
        <v>1</v>
      </c>
    </row>
    <row r="174" spans="1:19" x14ac:dyDescent="0.25">
      <c r="A174" t="s">
        <v>193</v>
      </c>
      <c r="B174" t="s">
        <v>11</v>
      </c>
      <c r="C174" t="s">
        <v>17</v>
      </c>
      <c r="D174">
        <v>3</v>
      </c>
      <c r="E174" t="s">
        <v>22</v>
      </c>
      <c r="F174" t="s">
        <v>12</v>
      </c>
      <c r="G174" s="3">
        <v>3522</v>
      </c>
      <c r="H174" s="3">
        <v>0</v>
      </c>
      <c r="I174" s="3">
        <v>81</v>
      </c>
      <c r="J174">
        <v>180</v>
      </c>
      <c r="K174">
        <v>1</v>
      </c>
      <c r="L174" t="s">
        <v>18</v>
      </c>
      <c r="M174" t="s">
        <v>19</v>
      </c>
      <c r="N174">
        <f t="shared" si="12"/>
        <v>3522</v>
      </c>
      <c r="O174" t="str">
        <f t="shared" si="13"/>
        <v>Low</v>
      </c>
      <c r="P174" s="4">
        <f t="shared" si="14"/>
        <v>2.2998296422487224E-2</v>
      </c>
      <c r="Q174" t="str">
        <f t="shared" si="15"/>
        <v>Small</v>
      </c>
      <c r="R174" s="19">
        <f t="shared" si="16"/>
        <v>0</v>
      </c>
      <c r="S174" t="str">
        <f t="shared" si="17"/>
        <v>2</v>
      </c>
    </row>
    <row r="175" spans="1:19" x14ac:dyDescent="0.25">
      <c r="A175" t="s">
        <v>194</v>
      </c>
      <c r="B175" t="s">
        <v>11</v>
      </c>
      <c r="C175" t="s">
        <v>17</v>
      </c>
      <c r="D175">
        <v>0</v>
      </c>
      <c r="E175" t="s">
        <v>13</v>
      </c>
      <c r="F175" t="s">
        <v>12</v>
      </c>
      <c r="G175" s="3">
        <v>5708</v>
      </c>
      <c r="H175" s="3">
        <v>5625</v>
      </c>
      <c r="I175" s="3">
        <v>187</v>
      </c>
      <c r="J175">
        <v>360</v>
      </c>
      <c r="K175">
        <v>1</v>
      </c>
      <c r="L175" t="s">
        <v>27</v>
      </c>
      <c r="M175" t="s">
        <v>15</v>
      </c>
      <c r="N175">
        <f t="shared" si="12"/>
        <v>11333</v>
      </c>
      <c r="O175" t="str">
        <f t="shared" si="13"/>
        <v>High</v>
      </c>
      <c r="P175" s="4">
        <f t="shared" si="14"/>
        <v>1.6500485308391422E-2</v>
      </c>
      <c r="Q175" t="str">
        <f t="shared" si="15"/>
        <v>Medium</v>
      </c>
      <c r="R175" s="19">
        <f t="shared" si="16"/>
        <v>1</v>
      </c>
      <c r="S175" t="str">
        <f t="shared" si="17"/>
        <v>3</v>
      </c>
    </row>
    <row r="176" spans="1:19" x14ac:dyDescent="0.25">
      <c r="A176" t="s">
        <v>195</v>
      </c>
      <c r="B176" t="s">
        <v>11</v>
      </c>
      <c r="C176" t="s">
        <v>17</v>
      </c>
      <c r="D176">
        <v>0</v>
      </c>
      <c r="E176" t="s">
        <v>22</v>
      </c>
      <c r="F176" t="s">
        <v>17</v>
      </c>
      <c r="G176" s="3">
        <v>4344</v>
      </c>
      <c r="H176" s="3">
        <v>736</v>
      </c>
      <c r="I176" s="3">
        <v>87</v>
      </c>
      <c r="J176">
        <v>360</v>
      </c>
      <c r="K176">
        <v>1</v>
      </c>
      <c r="L176" t="s">
        <v>27</v>
      </c>
      <c r="M176" t="s">
        <v>19</v>
      </c>
      <c r="N176">
        <f t="shared" si="12"/>
        <v>5080</v>
      </c>
      <c r="O176" t="str">
        <f t="shared" si="13"/>
        <v>Medium</v>
      </c>
      <c r="P176" s="4">
        <f t="shared" si="14"/>
        <v>1.7125984251968505E-2</v>
      </c>
      <c r="Q176" t="str">
        <f t="shared" si="15"/>
        <v>Small</v>
      </c>
      <c r="R176" s="19">
        <f t="shared" si="16"/>
        <v>0</v>
      </c>
      <c r="S176" t="str">
        <f t="shared" si="17"/>
        <v>3</v>
      </c>
    </row>
    <row r="177" spans="1:19" x14ac:dyDescent="0.25">
      <c r="A177" t="s">
        <v>196</v>
      </c>
      <c r="B177" t="s">
        <v>11</v>
      </c>
      <c r="C177" t="s">
        <v>17</v>
      </c>
      <c r="D177">
        <v>0</v>
      </c>
      <c r="E177" t="s">
        <v>13</v>
      </c>
      <c r="F177" t="s">
        <v>12</v>
      </c>
      <c r="G177" s="3">
        <v>3497</v>
      </c>
      <c r="H177" s="3">
        <v>1964</v>
      </c>
      <c r="I177" s="3">
        <v>116</v>
      </c>
      <c r="J177">
        <v>360</v>
      </c>
      <c r="K177">
        <v>1</v>
      </c>
      <c r="L177" t="s">
        <v>18</v>
      </c>
      <c r="M177" t="s">
        <v>15</v>
      </c>
      <c r="N177">
        <f t="shared" si="12"/>
        <v>5461</v>
      </c>
      <c r="O177" t="str">
        <f t="shared" si="13"/>
        <v>Medium</v>
      </c>
      <c r="P177" s="4">
        <f t="shared" si="14"/>
        <v>2.1241530855154733E-2</v>
      </c>
      <c r="Q177" t="str">
        <f t="shared" si="15"/>
        <v>Medium</v>
      </c>
      <c r="R177" s="19">
        <f t="shared" si="16"/>
        <v>1</v>
      </c>
      <c r="S177" t="str">
        <f t="shared" si="17"/>
        <v>2</v>
      </c>
    </row>
    <row r="178" spans="1:19" x14ac:dyDescent="0.25">
      <c r="A178" t="s">
        <v>197</v>
      </c>
      <c r="B178" t="s">
        <v>11</v>
      </c>
      <c r="C178" t="s">
        <v>17</v>
      </c>
      <c r="D178">
        <v>2</v>
      </c>
      <c r="E178" t="s">
        <v>13</v>
      </c>
      <c r="F178" t="s">
        <v>12</v>
      </c>
      <c r="G178" s="3">
        <v>2045</v>
      </c>
      <c r="H178" s="3">
        <v>1619</v>
      </c>
      <c r="I178" s="3">
        <v>101</v>
      </c>
      <c r="J178">
        <v>360</v>
      </c>
      <c r="K178">
        <v>1</v>
      </c>
      <c r="L178" t="s">
        <v>18</v>
      </c>
      <c r="M178" t="s">
        <v>15</v>
      </c>
      <c r="N178">
        <f t="shared" si="12"/>
        <v>3664</v>
      </c>
      <c r="O178" t="str">
        <f t="shared" si="13"/>
        <v>Low</v>
      </c>
      <c r="P178" s="4">
        <f t="shared" si="14"/>
        <v>2.7565502183406112E-2</v>
      </c>
      <c r="Q178" t="str">
        <f t="shared" si="15"/>
        <v>Medium</v>
      </c>
      <c r="R178" s="19">
        <f t="shared" si="16"/>
        <v>1</v>
      </c>
      <c r="S178" t="str">
        <f t="shared" si="17"/>
        <v>2</v>
      </c>
    </row>
    <row r="179" spans="1:19" x14ac:dyDescent="0.25">
      <c r="A179" t="s">
        <v>198</v>
      </c>
      <c r="B179" t="s">
        <v>11</v>
      </c>
      <c r="C179" t="s">
        <v>17</v>
      </c>
      <c r="D179">
        <v>3</v>
      </c>
      <c r="E179" t="s">
        <v>13</v>
      </c>
      <c r="F179" t="s">
        <v>12</v>
      </c>
      <c r="G179" s="3">
        <v>5516</v>
      </c>
      <c r="H179" s="3">
        <v>11300</v>
      </c>
      <c r="I179" s="3">
        <v>495</v>
      </c>
      <c r="J179">
        <v>360</v>
      </c>
      <c r="K179">
        <v>0</v>
      </c>
      <c r="L179" t="s">
        <v>27</v>
      </c>
      <c r="M179" t="s">
        <v>19</v>
      </c>
      <c r="N179">
        <f t="shared" si="12"/>
        <v>16816</v>
      </c>
      <c r="O179" t="str">
        <f t="shared" si="13"/>
        <v>High</v>
      </c>
      <c r="P179" s="4">
        <f t="shared" si="14"/>
        <v>2.9436251189343482E-2</v>
      </c>
      <c r="Q179" t="str">
        <f t="shared" si="15"/>
        <v>Large</v>
      </c>
      <c r="R179" s="19">
        <f t="shared" si="16"/>
        <v>0</v>
      </c>
      <c r="S179" t="str">
        <f t="shared" si="17"/>
        <v>3</v>
      </c>
    </row>
    <row r="180" spans="1:19" x14ac:dyDescent="0.25">
      <c r="A180" t="s">
        <v>199</v>
      </c>
      <c r="B180" t="s">
        <v>11</v>
      </c>
      <c r="C180" t="s">
        <v>17</v>
      </c>
      <c r="D180">
        <v>1</v>
      </c>
      <c r="E180" t="s">
        <v>13</v>
      </c>
      <c r="F180" t="s">
        <v>12</v>
      </c>
      <c r="G180" s="3">
        <v>3750</v>
      </c>
      <c r="H180" s="3">
        <v>0</v>
      </c>
      <c r="I180" s="3">
        <v>116</v>
      </c>
      <c r="J180">
        <v>360</v>
      </c>
      <c r="K180">
        <v>1</v>
      </c>
      <c r="L180" t="s">
        <v>27</v>
      </c>
      <c r="M180" t="s">
        <v>15</v>
      </c>
      <c r="N180">
        <f t="shared" si="12"/>
        <v>3750</v>
      </c>
      <c r="O180" t="str">
        <f t="shared" si="13"/>
        <v>Low</v>
      </c>
      <c r="P180" s="4">
        <f t="shared" si="14"/>
        <v>3.0933333333333334E-2</v>
      </c>
      <c r="Q180" t="str">
        <f t="shared" si="15"/>
        <v>Medium</v>
      </c>
      <c r="R180" s="19">
        <f t="shared" si="16"/>
        <v>1</v>
      </c>
      <c r="S180" t="str">
        <f t="shared" si="17"/>
        <v>3</v>
      </c>
    </row>
    <row r="181" spans="1:19" x14ac:dyDescent="0.25">
      <c r="A181" t="s">
        <v>200</v>
      </c>
      <c r="B181" t="s">
        <v>11</v>
      </c>
      <c r="C181" t="s">
        <v>12</v>
      </c>
      <c r="D181">
        <v>0</v>
      </c>
      <c r="E181" t="s">
        <v>22</v>
      </c>
      <c r="F181" t="s">
        <v>12</v>
      </c>
      <c r="G181" s="3">
        <v>2333</v>
      </c>
      <c r="H181" s="3">
        <v>1451</v>
      </c>
      <c r="I181" s="3">
        <v>102</v>
      </c>
      <c r="J181">
        <v>480</v>
      </c>
      <c r="K181">
        <v>0</v>
      </c>
      <c r="L181" t="s">
        <v>14</v>
      </c>
      <c r="M181" t="s">
        <v>19</v>
      </c>
      <c r="N181">
        <f t="shared" si="12"/>
        <v>3784</v>
      </c>
      <c r="O181" t="str">
        <f t="shared" si="13"/>
        <v>Low</v>
      </c>
      <c r="P181" s="4">
        <f t="shared" si="14"/>
        <v>2.6955602536997886E-2</v>
      </c>
      <c r="Q181" t="str">
        <f t="shared" si="15"/>
        <v>Medium</v>
      </c>
      <c r="R181" s="19">
        <f t="shared" si="16"/>
        <v>0</v>
      </c>
      <c r="S181" t="str">
        <f t="shared" si="17"/>
        <v>1</v>
      </c>
    </row>
    <row r="182" spans="1:19" x14ac:dyDescent="0.25">
      <c r="A182" t="s">
        <v>201</v>
      </c>
      <c r="B182" t="s">
        <v>11</v>
      </c>
      <c r="C182" t="s">
        <v>17</v>
      </c>
      <c r="D182">
        <v>1</v>
      </c>
      <c r="E182" t="s">
        <v>13</v>
      </c>
      <c r="F182" t="s">
        <v>12</v>
      </c>
      <c r="G182" s="3">
        <v>6400</v>
      </c>
      <c r="H182" s="3">
        <v>7250</v>
      </c>
      <c r="I182" s="3">
        <v>180</v>
      </c>
      <c r="J182">
        <v>360</v>
      </c>
      <c r="K182">
        <v>0</v>
      </c>
      <c r="L182" t="s">
        <v>14</v>
      </c>
      <c r="M182" t="s">
        <v>19</v>
      </c>
      <c r="N182">
        <f t="shared" si="12"/>
        <v>13650</v>
      </c>
      <c r="O182" t="str">
        <f t="shared" si="13"/>
        <v>High</v>
      </c>
      <c r="P182" s="4">
        <f t="shared" si="14"/>
        <v>1.3186813186813187E-2</v>
      </c>
      <c r="Q182" t="str">
        <f t="shared" si="15"/>
        <v>Medium</v>
      </c>
      <c r="R182" s="19">
        <f t="shared" si="16"/>
        <v>0</v>
      </c>
      <c r="S182" t="str">
        <f t="shared" si="17"/>
        <v>1</v>
      </c>
    </row>
    <row r="183" spans="1:19" x14ac:dyDescent="0.25">
      <c r="A183" t="s">
        <v>202</v>
      </c>
      <c r="B183" t="s">
        <v>11</v>
      </c>
      <c r="C183" t="s">
        <v>12</v>
      </c>
      <c r="D183">
        <v>0</v>
      </c>
      <c r="E183" t="s">
        <v>13</v>
      </c>
      <c r="F183" t="s">
        <v>12</v>
      </c>
      <c r="G183" s="3">
        <v>1916</v>
      </c>
      <c r="H183" s="3">
        <v>5063</v>
      </c>
      <c r="I183" s="3">
        <v>67</v>
      </c>
      <c r="J183">
        <v>360</v>
      </c>
      <c r="K183">
        <v>1</v>
      </c>
      <c r="L183" t="s">
        <v>18</v>
      </c>
      <c r="M183" t="s">
        <v>19</v>
      </c>
      <c r="N183">
        <f t="shared" si="12"/>
        <v>6979</v>
      </c>
      <c r="O183" t="str">
        <f t="shared" si="13"/>
        <v>Medium</v>
      </c>
      <c r="P183" s="4">
        <f t="shared" si="14"/>
        <v>9.6002292592061896E-3</v>
      </c>
      <c r="Q183" t="str">
        <f t="shared" si="15"/>
        <v>Small</v>
      </c>
      <c r="R183" s="19">
        <f t="shared" si="16"/>
        <v>0</v>
      </c>
      <c r="S183" t="str">
        <f t="shared" si="17"/>
        <v>2</v>
      </c>
    </row>
    <row r="184" spans="1:19" x14ac:dyDescent="0.25">
      <c r="A184" t="s">
        <v>203</v>
      </c>
      <c r="B184" t="s">
        <v>11</v>
      </c>
      <c r="C184" t="s">
        <v>17</v>
      </c>
      <c r="D184">
        <v>0</v>
      </c>
      <c r="E184" t="s">
        <v>13</v>
      </c>
      <c r="F184" t="s">
        <v>12</v>
      </c>
      <c r="G184" s="3">
        <v>4600</v>
      </c>
      <c r="H184" s="3">
        <v>0</v>
      </c>
      <c r="I184" s="3">
        <v>73</v>
      </c>
      <c r="J184">
        <v>180</v>
      </c>
      <c r="K184">
        <v>1</v>
      </c>
      <c r="L184" t="s">
        <v>27</v>
      </c>
      <c r="M184" t="s">
        <v>15</v>
      </c>
      <c r="N184">
        <f t="shared" si="12"/>
        <v>4600</v>
      </c>
      <c r="O184" t="str">
        <f t="shared" si="13"/>
        <v>Medium</v>
      </c>
      <c r="P184" s="4">
        <f t="shared" si="14"/>
        <v>1.5869565217391305E-2</v>
      </c>
      <c r="Q184" t="str">
        <f t="shared" si="15"/>
        <v>Small</v>
      </c>
      <c r="R184" s="19">
        <f t="shared" si="16"/>
        <v>1</v>
      </c>
      <c r="S184" t="str">
        <f t="shared" si="17"/>
        <v>3</v>
      </c>
    </row>
    <row r="185" spans="1:19" x14ac:dyDescent="0.25">
      <c r="A185" t="s">
        <v>204</v>
      </c>
      <c r="B185" t="s">
        <v>11</v>
      </c>
      <c r="C185" t="s">
        <v>17</v>
      </c>
      <c r="D185">
        <v>1</v>
      </c>
      <c r="E185" t="s">
        <v>13</v>
      </c>
      <c r="F185" t="s">
        <v>12</v>
      </c>
      <c r="G185" s="3">
        <v>33846</v>
      </c>
      <c r="H185" s="3">
        <v>0</v>
      </c>
      <c r="I185" s="3">
        <v>260</v>
      </c>
      <c r="J185">
        <v>360</v>
      </c>
      <c r="K185">
        <v>1</v>
      </c>
      <c r="L185" t="s">
        <v>27</v>
      </c>
      <c r="M185" t="s">
        <v>19</v>
      </c>
      <c r="N185">
        <f t="shared" si="12"/>
        <v>33846</v>
      </c>
      <c r="O185" t="str">
        <f t="shared" si="13"/>
        <v>High</v>
      </c>
      <c r="P185" s="4">
        <f t="shared" si="14"/>
        <v>7.6818530993322696E-3</v>
      </c>
      <c r="Q185" t="str">
        <f t="shared" si="15"/>
        <v>Large</v>
      </c>
      <c r="R185" s="19">
        <f t="shared" si="16"/>
        <v>0</v>
      </c>
      <c r="S185" t="str">
        <f t="shared" si="17"/>
        <v>3</v>
      </c>
    </row>
    <row r="186" spans="1:19" x14ac:dyDescent="0.25">
      <c r="A186" t="s">
        <v>205</v>
      </c>
      <c r="B186" t="s">
        <v>38</v>
      </c>
      <c r="C186" t="s">
        <v>17</v>
      </c>
      <c r="D186">
        <v>0</v>
      </c>
      <c r="E186" t="s">
        <v>13</v>
      </c>
      <c r="F186" t="s">
        <v>12</v>
      </c>
      <c r="G186" s="3">
        <v>3625</v>
      </c>
      <c r="H186" s="3">
        <v>0</v>
      </c>
      <c r="I186" s="3">
        <v>108</v>
      </c>
      <c r="J186">
        <v>360</v>
      </c>
      <c r="K186">
        <v>1</v>
      </c>
      <c r="L186" t="s">
        <v>27</v>
      </c>
      <c r="M186" t="s">
        <v>15</v>
      </c>
      <c r="N186">
        <f t="shared" si="12"/>
        <v>3625</v>
      </c>
      <c r="O186" t="str">
        <f t="shared" si="13"/>
        <v>Low</v>
      </c>
      <c r="P186" s="4">
        <f t="shared" si="14"/>
        <v>2.9793103448275862E-2</v>
      </c>
      <c r="Q186" t="str">
        <f t="shared" si="15"/>
        <v>Medium</v>
      </c>
      <c r="R186" s="19">
        <f t="shared" si="16"/>
        <v>1</v>
      </c>
      <c r="S186" t="str">
        <f t="shared" si="17"/>
        <v>3</v>
      </c>
    </row>
    <row r="187" spans="1:19" x14ac:dyDescent="0.25">
      <c r="A187" t="s">
        <v>206</v>
      </c>
      <c r="B187" t="s">
        <v>11</v>
      </c>
      <c r="C187" t="s">
        <v>17</v>
      </c>
      <c r="D187">
        <v>0</v>
      </c>
      <c r="E187" t="s">
        <v>13</v>
      </c>
      <c r="F187" t="s">
        <v>17</v>
      </c>
      <c r="G187" s="3">
        <v>39147</v>
      </c>
      <c r="H187" s="3">
        <v>4750</v>
      </c>
      <c r="I187" s="3">
        <v>120</v>
      </c>
      <c r="J187">
        <v>360</v>
      </c>
      <c r="K187">
        <v>1</v>
      </c>
      <c r="L187" t="s">
        <v>27</v>
      </c>
      <c r="M187" t="s">
        <v>15</v>
      </c>
      <c r="N187">
        <f t="shared" si="12"/>
        <v>43897</v>
      </c>
      <c r="O187" t="str">
        <f t="shared" si="13"/>
        <v>High</v>
      </c>
      <c r="P187" s="4">
        <f t="shared" si="14"/>
        <v>2.7336720049206094E-3</v>
      </c>
      <c r="Q187" t="str">
        <f t="shared" si="15"/>
        <v>Medium</v>
      </c>
      <c r="R187" s="19">
        <f t="shared" si="16"/>
        <v>1</v>
      </c>
      <c r="S187" t="str">
        <f t="shared" si="17"/>
        <v>3</v>
      </c>
    </row>
    <row r="188" spans="1:19" x14ac:dyDescent="0.25">
      <c r="A188" t="s">
        <v>207</v>
      </c>
      <c r="B188" t="s">
        <v>11</v>
      </c>
      <c r="C188" t="s">
        <v>17</v>
      </c>
      <c r="D188">
        <v>1</v>
      </c>
      <c r="E188" t="s">
        <v>13</v>
      </c>
      <c r="F188" t="s">
        <v>17</v>
      </c>
      <c r="G188" s="3">
        <v>2178</v>
      </c>
      <c r="H188" s="3">
        <v>0</v>
      </c>
      <c r="I188" s="3">
        <v>66</v>
      </c>
      <c r="J188">
        <v>300</v>
      </c>
      <c r="K188">
        <v>0</v>
      </c>
      <c r="L188" t="s">
        <v>18</v>
      </c>
      <c r="M188" t="s">
        <v>19</v>
      </c>
      <c r="N188">
        <f t="shared" si="12"/>
        <v>2178</v>
      </c>
      <c r="O188" t="str">
        <f t="shared" si="13"/>
        <v>Low</v>
      </c>
      <c r="P188" s="4">
        <f t="shared" si="14"/>
        <v>3.0303030303030304E-2</v>
      </c>
      <c r="Q188" t="str">
        <f t="shared" si="15"/>
        <v>Small</v>
      </c>
      <c r="R188" s="19">
        <f t="shared" si="16"/>
        <v>0</v>
      </c>
      <c r="S188" t="str">
        <f t="shared" si="17"/>
        <v>2</v>
      </c>
    </row>
    <row r="189" spans="1:19" x14ac:dyDescent="0.25">
      <c r="A189" t="s">
        <v>208</v>
      </c>
      <c r="B189" t="s">
        <v>11</v>
      </c>
      <c r="C189" t="s">
        <v>17</v>
      </c>
      <c r="D189">
        <v>0</v>
      </c>
      <c r="E189" t="s">
        <v>13</v>
      </c>
      <c r="F189" t="s">
        <v>12</v>
      </c>
      <c r="G189" s="3">
        <v>2383</v>
      </c>
      <c r="H189" s="3">
        <v>2138</v>
      </c>
      <c r="I189" s="3">
        <v>58</v>
      </c>
      <c r="J189">
        <v>360</v>
      </c>
      <c r="K189">
        <v>1</v>
      </c>
      <c r="L189" t="s">
        <v>18</v>
      </c>
      <c r="M189" t="s">
        <v>15</v>
      </c>
      <c r="N189">
        <f t="shared" si="12"/>
        <v>4521</v>
      </c>
      <c r="O189" t="str">
        <f t="shared" si="13"/>
        <v>Medium</v>
      </c>
      <c r="P189" s="4">
        <f t="shared" si="14"/>
        <v>1.2829020128290201E-2</v>
      </c>
      <c r="Q189" t="str">
        <f t="shared" si="15"/>
        <v>Small</v>
      </c>
      <c r="R189" s="19">
        <f t="shared" si="16"/>
        <v>1</v>
      </c>
      <c r="S189" t="str">
        <f t="shared" si="17"/>
        <v>2</v>
      </c>
    </row>
    <row r="190" spans="1:19" x14ac:dyDescent="0.25">
      <c r="A190" t="s">
        <v>209</v>
      </c>
      <c r="B190" t="s">
        <v>11</v>
      </c>
      <c r="C190" t="s">
        <v>17</v>
      </c>
      <c r="D190">
        <v>0</v>
      </c>
      <c r="E190" t="s">
        <v>13</v>
      </c>
      <c r="F190" t="s">
        <v>17</v>
      </c>
      <c r="G190" s="3">
        <v>674</v>
      </c>
      <c r="H190" s="3">
        <v>5296</v>
      </c>
      <c r="I190" s="3">
        <v>168</v>
      </c>
      <c r="J190">
        <v>360</v>
      </c>
      <c r="K190">
        <v>1</v>
      </c>
      <c r="L190" t="s">
        <v>18</v>
      </c>
      <c r="M190" t="s">
        <v>15</v>
      </c>
      <c r="N190">
        <f t="shared" si="12"/>
        <v>5970</v>
      </c>
      <c r="O190" t="str">
        <f t="shared" si="13"/>
        <v>Medium</v>
      </c>
      <c r="P190" s="4">
        <f t="shared" si="14"/>
        <v>2.8140703517587941E-2</v>
      </c>
      <c r="Q190" t="str">
        <f t="shared" si="15"/>
        <v>Medium</v>
      </c>
      <c r="R190" s="19">
        <f t="shared" si="16"/>
        <v>1</v>
      </c>
      <c r="S190" t="str">
        <f t="shared" si="17"/>
        <v>2</v>
      </c>
    </row>
    <row r="191" spans="1:19" x14ac:dyDescent="0.25">
      <c r="A191" t="s">
        <v>210</v>
      </c>
      <c r="B191" t="s">
        <v>11</v>
      </c>
      <c r="C191" t="s">
        <v>17</v>
      </c>
      <c r="D191">
        <v>0</v>
      </c>
      <c r="E191" t="s">
        <v>13</v>
      </c>
      <c r="F191" t="s">
        <v>12</v>
      </c>
      <c r="G191" s="3">
        <v>9328</v>
      </c>
      <c r="H191" s="3">
        <v>0</v>
      </c>
      <c r="I191" s="3">
        <v>188</v>
      </c>
      <c r="J191">
        <v>180</v>
      </c>
      <c r="K191">
        <v>1</v>
      </c>
      <c r="L191" t="s">
        <v>18</v>
      </c>
      <c r="M191" t="s">
        <v>15</v>
      </c>
      <c r="N191">
        <f t="shared" si="12"/>
        <v>9328</v>
      </c>
      <c r="O191" t="str">
        <f t="shared" si="13"/>
        <v>High</v>
      </c>
      <c r="P191" s="4">
        <f t="shared" si="14"/>
        <v>2.0154373927958835E-2</v>
      </c>
      <c r="Q191" t="str">
        <f t="shared" si="15"/>
        <v>Medium</v>
      </c>
      <c r="R191" s="19">
        <f t="shared" si="16"/>
        <v>1</v>
      </c>
      <c r="S191" t="str">
        <f t="shared" si="17"/>
        <v>2</v>
      </c>
    </row>
    <row r="192" spans="1:19" x14ac:dyDescent="0.25">
      <c r="A192" t="s">
        <v>211</v>
      </c>
      <c r="B192" t="s">
        <v>11</v>
      </c>
      <c r="C192" t="s">
        <v>12</v>
      </c>
      <c r="D192">
        <v>0</v>
      </c>
      <c r="E192" t="s">
        <v>22</v>
      </c>
      <c r="F192" t="s">
        <v>12</v>
      </c>
      <c r="G192" s="3">
        <v>4885</v>
      </c>
      <c r="H192" s="3">
        <v>0</v>
      </c>
      <c r="I192" s="3">
        <v>48</v>
      </c>
      <c r="J192">
        <v>360</v>
      </c>
      <c r="K192">
        <v>1</v>
      </c>
      <c r="L192" t="s">
        <v>18</v>
      </c>
      <c r="M192" t="s">
        <v>15</v>
      </c>
      <c r="N192">
        <f t="shared" si="12"/>
        <v>4885</v>
      </c>
      <c r="O192" t="str">
        <f t="shared" si="13"/>
        <v>Medium</v>
      </c>
      <c r="P192" s="4">
        <f t="shared" si="14"/>
        <v>9.8259979529170937E-3</v>
      </c>
      <c r="Q192" t="str">
        <f t="shared" si="15"/>
        <v>Small</v>
      </c>
      <c r="R192" s="19">
        <f t="shared" si="16"/>
        <v>1</v>
      </c>
      <c r="S192" t="str">
        <f t="shared" si="17"/>
        <v>2</v>
      </c>
    </row>
    <row r="193" spans="1:19" x14ac:dyDescent="0.25">
      <c r="A193" t="s">
        <v>212</v>
      </c>
      <c r="B193" t="s">
        <v>11</v>
      </c>
      <c r="C193" t="s">
        <v>12</v>
      </c>
      <c r="D193">
        <v>0</v>
      </c>
      <c r="E193" t="s">
        <v>13</v>
      </c>
      <c r="F193" t="s">
        <v>12</v>
      </c>
      <c r="G193" s="3">
        <v>12000</v>
      </c>
      <c r="H193" s="3">
        <v>0</v>
      </c>
      <c r="I193" s="3">
        <v>164</v>
      </c>
      <c r="J193">
        <v>360</v>
      </c>
      <c r="K193">
        <v>1</v>
      </c>
      <c r="L193" t="s">
        <v>27</v>
      </c>
      <c r="M193" t="s">
        <v>19</v>
      </c>
      <c r="N193">
        <f t="shared" si="12"/>
        <v>12000</v>
      </c>
      <c r="O193" t="str">
        <f t="shared" si="13"/>
        <v>High</v>
      </c>
      <c r="P193" s="4">
        <f t="shared" si="14"/>
        <v>1.3666666666666667E-2</v>
      </c>
      <c r="Q193" t="str">
        <f t="shared" si="15"/>
        <v>Medium</v>
      </c>
      <c r="R193" s="19">
        <f t="shared" si="16"/>
        <v>0</v>
      </c>
      <c r="S193" t="str">
        <f t="shared" si="17"/>
        <v>3</v>
      </c>
    </row>
    <row r="194" spans="1:19" x14ac:dyDescent="0.25">
      <c r="A194" t="s">
        <v>213</v>
      </c>
      <c r="B194" t="s">
        <v>11</v>
      </c>
      <c r="C194" t="s">
        <v>17</v>
      </c>
      <c r="D194">
        <v>0</v>
      </c>
      <c r="E194" t="s">
        <v>22</v>
      </c>
      <c r="F194" t="s">
        <v>12</v>
      </c>
      <c r="G194" s="3">
        <v>6033</v>
      </c>
      <c r="H194" s="3">
        <v>0</v>
      </c>
      <c r="I194" s="3">
        <v>160</v>
      </c>
      <c r="J194">
        <v>360</v>
      </c>
      <c r="K194">
        <v>1</v>
      </c>
      <c r="L194" t="s">
        <v>14</v>
      </c>
      <c r="M194" t="s">
        <v>19</v>
      </c>
      <c r="N194">
        <f t="shared" si="12"/>
        <v>6033</v>
      </c>
      <c r="O194" t="str">
        <f t="shared" si="13"/>
        <v>Medium</v>
      </c>
      <c r="P194" s="4">
        <f t="shared" si="14"/>
        <v>2.6520802254268193E-2</v>
      </c>
      <c r="Q194" t="str">
        <f t="shared" si="15"/>
        <v>Medium</v>
      </c>
      <c r="R194" s="19">
        <f t="shared" si="16"/>
        <v>0</v>
      </c>
      <c r="S194" t="str">
        <f t="shared" si="17"/>
        <v>1</v>
      </c>
    </row>
    <row r="195" spans="1:19" x14ac:dyDescent="0.25">
      <c r="A195" t="s">
        <v>214</v>
      </c>
      <c r="B195" t="s">
        <v>11</v>
      </c>
      <c r="C195" t="s">
        <v>12</v>
      </c>
      <c r="D195">
        <v>0</v>
      </c>
      <c r="E195" t="s">
        <v>13</v>
      </c>
      <c r="F195" t="s">
        <v>12</v>
      </c>
      <c r="G195" s="3">
        <v>3858</v>
      </c>
      <c r="H195" s="3">
        <v>0</v>
      </c>
      <c r="I195" s="3">
        <v>76</v>
      </c>
      <c r="J195">
        <v>360</v>
      </c>
      <c r="K195">
        <v>1</v>
      </c>
      <c r="L195" t="s">
        <v>27</v>
      </c>
      <c r="M195" t="s">
        <v>15</v>
      </c>
      <c r="N195">
        <f t="shared" ref="N195:N258" si="18">G195+H195</f>
        <v>3858</v>
      </c>
      <c r="O195" t="str">
        <f t="shared" ref="O195:O258" si="19">IF(N195&lt;4000,"Low", IF(N195&lt;8000, "Medium", "High"))</f>
        <v>Low</v>
      </c>
      <c r="P195" s="4">
        <f t="shared" ref="P195:P258" si="20">I195/N195</f>
        <v>1.9699326075686883E-2</v>
      </c>
      <c r="Q195" t="str">
        <f t="shared" ref="Q195:Q258" si="21">IF(I195&lt;100, "Small", IF(I195&lt;200, "Medium", "Large"))</f>
        <v>Small</v>
      </c>
      <c r="R195" s="19">
        <f t="shared" ref="R195:R258" si="22">IF(M195="Y", 1*1, 1*0)</f>
        <v>1</v>
      </c>
      <c r="S195" t="str">
        <f t="shared" ref="S195:S258" si="23">IF(L195="Urban","1", IF(L195="Rural", "2", IF(L195="Semiurban","3")))</f>
        <v>3</v>
      </c>
    </row>
    <row r="196" spans="1:19" x14ac:dyDescent="0.25">
      <c r="A196" t="s">
        <v>215</v>
      </c>
      <c r="B196" t="s">
        <v>11</v>
      </c>
      <c r="C196" t="s">
        <v>12</v>
      </c>
      <c r="D196">
        <v>0</v>
      </c>
      <c r="E196" t="s">
        <v>13</v>
      </c>
      <c r="F196" t="s">
        <v>12</v>
      </c>
      <c r="G196" s="3">
        <v>4191</v>
      </c>
      <c r="H196" s="3">
        <v>0</v>
      </c>
      <c r="I196" s="3">
        <v>120</v>
      </c>
      <c r="J196">
        <v>360</v>
      </c>
      <c r="K196">
        <v>1</v>
      </c>
      <c r="L196" t="s">
        <v>18</v>
      </c>
      <c r="M196" t="s">
        <v>15</v>
      </c>
      <c r="N196">
        <f t="shared" si="18"/>
        <v>4191</v>
      </c>
      <c r="O196" t="str">
        <f t="shared" si="19"/>
        <v>Medium</v>
      </c>
      <c r="P196" s="4">
        <f t="shared" si="20"/>
        <v>2.863278453829635E-2</v>
      </c>
      <c r="Q196" t="str">
        <f t="shared" si="21"/>
        <v>Medium</v>
      </c>
      <c r="R196" s="19">
        <f t="shared" si="22"/>
        <v>1</v>
      </c>
      <c r="S196" t="str">
        <f t="shared" si="23"/>
        <v>2</v>
      </c>
    </row>
    <row r="197" spans="1:19" x14ac:dyDescent="0.25">
      <c r="A197" t="s">
        <v>216</v>
      </c>
      <c r="B197" t="s">
        <v>11</v>
      </c>
      <c r="C197" t="s">
        <v>17</v>
      </c>
      <c r="D197">
        <v>1</v>
      </c>
      <c r="E197" t="s">
        <v>13</v>
      </c>
      <c r="F197" t="s">
        <v>12</v>
      </c>
      <c r="G197" s="3">
        <v>3125</v>
      </c>
      <c r="H197" s="3">
        <v>2583</v>
      </c>
      <c r="I197" s="3">
        <v>170</v>
      </c>
      <c r="J197">
        <v>360</v>
      </c>
      <c r="K197">
        <v>1</v>
      </c>
      <c r="L197" t="s">
        <v>27</v>
      </c>
      <c r="M197" t="s">
        <v>19</v>
      </c>
      <c r="N197">
        <f t="shared" si="18"/>
        <v>5708</v>
      </c>
      <c r="O197" t="str">
        <f t="shared" si="19"/>
        <v>Medium</v>
      </c>
      <c r="P197" s="4">
        <f t="shared" si="20"/>
        <v>2.9782761037140854E-2</v>
      </c>
      <c r="Q197" t="str">
        <f t="shared" si="21"/>
        <v>Medium</v>
      </c>
      <c r="R197" s="19">
        <f t="shared" si="22"/>
        <v>0</v>
      </c>
      <c r="S197" t="str">
        <f t="shared" si="23"/>
        <v>3</v>
      </c>
    </row>
    <row r="198" spans="1:19" x14ac:dyDescent="0.25">
      <c r="A198" t="s">
        <v>217</v>
      </c>
      <c r="B198" t="s">
        <v>11</v>
      </c>
      <c r="C198" t="s">
        <v>12</v>
      </c>
      <c r="D198">
        <v>0</v>
      </c>
      <c r="E198" t="s">
        <v>13</v>
      </c>
      <c r="F198" t="s">
        <v>12</v>
      </c>
      <c r="G198" s="3">
        <v>8333</v>
      </c>
      <c r="H198" s="3">
        <v>3750</v>
      </c>
      <c r="I198" s="3">
        <v>187</v>
      </c>
      <c r="J198">
        <v>360</v>
      </c>
      <c r="K198">
        <v>1</v>
      </c>
      <c r="L198" t="s">
        <v>18</v>
      </c>
      <c r="M198" t="s">
        <v>15</v>
      </c>
      <c r="N198">
        <f t="shared" si="18"/>
        <v>12083</v>
      </c>
      <c r="O198" t="str">
        <f t="shared" si="19"/>
        <v>High</v>
      </c>
      <c r="P198" s="4">
        <f t="shared" si="20"/>
        <v>1.5476289001075892E-2</v>
      </c>
      <c r="Q198" t="str">
        <f t="shared" si="21"/>
        <v>Medium</v>
      </c>
      <c r="R198" s="19">
        <f t="shared" si="22"/>
        <v>1</v>
      </c>
      <c r="S198" t="str">
        <f t="shared" si="23"/>
        <v>2</v>
      </c>
    </row>
    <row r="199" spans="1:19" x14ac:dyDescent="0.25">
      <c r="A199" t="s">
        <v>218</v>
      </c>
      <c r="B199" t="s">
        <v>38</v>
      </c>
      <c r="C199" t="s">
        <v>12</v>
      </c>
      <c r="D199">
        <v>0</v>
      </c>
      <c r="E199" t="s">
        <v>22</v>
      </c>
      <c r="F199" t="s">
        <v>12</v>
      </c>
      <c r="G199" s="3">
        <v>1907</v>
      </c>
      <c r="H199" s="3">
        <v>2365</v>
      </c>
      <c r="I199" s="3">
        <v>120</v>
      </c>
      <c r="J199">
        <v>360</v>
      </c>
      <c r="K199">
        <v>1</v>
      </c>
      <c r="L199" t="s">
        <v>14</v>
      </c>
      <c r="M199" t="s">
        <v>15</v>
      </c>
      <c r="N199">
        <f t="shared" si="18"/>
        <v>4272</v>
      </c>
      <c r="O199" t="str">
        <f t="shared" si="19"/>
        <v>Medium</v>
      </c>
      <c r="P199" s="4">
        <f t="shared" si="20"/>
        <v>2.8089887640449437E-2</v>
      </c>
      <c r="Q199" t="str">
        <f t="shared" si="21"/>
        <v>Medium</v>
      </c>
      <c r="R199" s="19">
        <f t="shared" si="22"/>
        <v>1</v>
      </c>
      <c r="S199" t="str">
        <f t="shared" si="23"/>
        <v>1</v>
      </c>
    </row>
    <row r="200" spans="1:19" x14ac:dyDescent="0.25">
      <c r="A200" t="s">
        <v>219</v>
      </c>
      <c r="B200" t="s">
        <v>38</v>
      </c>
      <c r="C200" t="s">
        <v>17</v>
      </c>
      <c r="D200">
        <v>0</v>
      </c>
      <c r="E200" t="s">
        <v>13</v>
      </c>
      <c r="F200" t="s">
        <v>12</v>
      </c>
      <c r="G200" s="3">
        <v>3416</v>
      </c>
      <c r="H200" s="3">
        <v>2816</v>
      </c>
      <c r="I200" s="3">
        <v>113</v>
      </c>
      <c r="J200">
        <v>360</v>
      </c>
      <c r="K200">
        <v>1</v>
      </c>
      <c r="L200" t="s">
        <v>27</v>
      </c>
      <c r="M200" t="s">
        <v>15</v>
      </c>
      <c r="N200">
        <f t="shared" si="18"/>
        <v>6232</v>
      </c>
      <c r="O200" t="str">
        <f t="shared" si="19"/>
        <v>Medium</v>
      </c>
      <c r="P200" s="4">
        <f t="shared" si="20"/>
        <v>1.8132220795892169E-2</v>
      </c>
      <c r="Q200" t="str">
        <f t="shared" si="21"/>
        <v>Medium</v>
      </c>
      <c r="R200" s="19">
        <f t="shared" si="22"/>
        <v>1</v>
      </c>
      <c r="S200" t="str">
        <f t="shared" si="23"/>
        <v>3</v>
      </c>
    </row>
    <row r="201" spans="1:19" x14ac:dyDescent="0.25">
      <c r="A201" t="s">
        <v>220</v>
      </c>
      <c r="B201" t="s">
        <v>11</v>
      </c>
      <c r="C201" t="s">
        <v>12</v>
      </c>
      <c r="D201">
        <v>0</v>
      </c>
      <c r="E201" t="s">
        <v>13</v>
      </c>
      <c r="F201" t="s">
        <v>17</v>
      </c>
      <c r="G201" s="3">
        <v>11000</v>
      </c>
      <c r="H201" s="3">
        <v>0</v>
      </c>
      <c r="I201" s="3">
        <v>83</v>
      </c>
      <c r="J201">
        <v>360</v>
      </c>
      <c r="K201">
        <v>1</v>
      </c>
      <c r="L201" t="s">
        <v>14</v>
      </c>
      <c r="M201" t="s">
        <v>19</v>
      </c>
      <c r="N201">
        <f t="shared" si="18"/>
        <v>11000</v>
      </c>
      <c r="O201" t="str">
        <f t="shared" si="19"/>
        <v>High</v>
      </c>
      <c r="P201" s="4">
        <f t="shared" si="20"/>
        <v>7.5454545454545453E-3</v>
      </c>
      <c r="Q201" t="str">
        <f t="shared" si="21"/>
        <v>Small</v>
      </c>
      <c r="R201" s="19">
        <f t="shared" si="22"/>
        <v>0</v>
      </c>
      <c r="S201" t="str">
        <f t="shared" si="23"/>
        <v>1</v>
      </c>
    </row>
    <row r="202" spans="1:19" x14ac:dyDescent="0.25">
      <c r="A202" t="s">
        <v>221</v>
      </c>
      <c r="B202" t="s">
        <v>11</v>
      </c>
      <c r="C202" t="s">
        <v>17</v>
      </c>
      <c r="D202">
        <v>1</v>
      </c>
      <c r="E202" t="s">
        <v>22</v>
      </c>
      <c r="F202" t="s">
        <v>12</v>
      </c>
      <c r="G202" s="3">
        <v>2600</v>
      </c>
      <c r="H202" s="3">
        <v>2500</v>
      </c>
      <c r="I202" s="3">
        <v>90</v>
      </c>
      <c r="J202">
        <v>360</v>
      </c>
      <c r="K202">
        <v>1</v>
      </c>
      <c r="L202" t="s">
        <v>27</v>
      </c>
      <c r="M202" t="s">
        <v>15</v>
      </c>
      <c r="N202">
        <f t="shared" si="18"/>
        <v>5100</v>
      </c>
      <c r="O202" t="str">
        <f t="shared" si="19"/>
        <v>Medium</v>
      </c>
      <c r="P202" s="4">
        <f t="shared" si="20"/>
        <v>1.7647058823529412E-2</v>
      </c>
      <c r="Q202" t="str">
        <f t="shared" si="21"/>
        <v>Small</v>
      </c>
      <c r="R202" s="19">
        <f t="shared" si="22"/>
        <v>1</v>
      </c>
      <c r="S202" t="str">
        <f t="shared" si="23"/>
        <v>3</v>
      </c>
    </row>
    <row r="203" spans="1:19" x14ac:dyDescent="0.25">
      <c r="A203" t="s">
        <v>222</v>
      </c>
      <c r="B203" t="s">
        <v>11</v>
      </c>
      <c r="C203" t="s">
        <v>12</v>
      </c>
      <c r="D203">
        <v>2</v>
      </c>
      <c r="E203" t="s">
        <v>13</v>
      </c>
      <c r="F203" t="s">
        <v>12</v>
      </c>
      <c r="G203" s="3">
        <v>4923</v>
      </c>
      <c r="H203" s="3">
        <v>0</v>
      </c>
      <c r="I203" s="3">
        <v>166</v>
      </c>
      <c r="J203">
        <v>360</v>
      </c>
      <c r="K203">
        <v>0</v>
      </c>
      <c r="L203" t="s">
        <v>27</v>
      </c>
      <c r="M203" t="s">
        <v>15</v>
      </c>
      <c r="N203">
        <f t="shared" si="18"/>
        <v>4923</v>
      </c>
      <c r="O203" t="str">
        <f t="shared" si="19"/>
        <v>Medium</v>
      </c>
      <c r="P203" s="4">
        <f t="shared" si="20"/>
        <v>3.3719276863700992E-2</v>
      </c>
      <c r="Q203" t="str">
        <f t="shared" si="21"/>
        <v>Medium</v>
      </c>
      <c r="R203" s="19">
        <f t="shared" si="22"/>
        <v>1</v>
      </c>
      <c r="S203" t="str">
        <f t="shared" si="23"/>
        <v>3</v>
      </c>
    </row>
    <row r="204" spans="1:19" x14ac:dyDescent="0.25">
      <c r="A204" t="s">
        <v>223</v>
      </c>
      <c r="B204" t="s">
        <v>11</v>
      </c>
      <c r="C204" t="s">
        <v>17</v>
      </c>
      <c r="D204">
        <v>3</v>
      </c>
      <c r="E204" t="s">
        <v>22</v>
      </c>
      <c r="F204" t="s">
        <v>12</v>
      </c>
      <c r="G204" s="3">
        <v>3992</v>
      </c>
      <c r="H204" s="3">
        <v>0</v>
      </c>
      <c r="I204" s="3">
        <v>0</v>
      </c>
      <c r="J204">
        <v>180</v>
      </c>
      <c r="K204">
        <v>1</v>
      </c>
      <c r="L204" t="s">
        <v>14</v>
      </c>
      <c r="M204" t="s">
        <v>19</v>
      </c>
      <c r="N204">
        <f t="shared" si="18"/>
        <v>3992</v>
      </c>
      <c r="O204" t="str">
        <f t="shared" si="19"/>
        <v>Low</v>
      </c>
      <c r="P204" s="4">
        <f t="shared" si="20"/>
        <v>0</v>
      </c>
      <c r="Q204" t="str">
        <f t="shared" si="21"/>
        <v>Small</v>
      </c>
      <c r="R204" s="19">
        <f t="shared" si="22"/>
        <v>0</v>
      </c>
      <c r="S204" t="str">
        <f t="shared" si="23"/>
        <v>1</v>
      </c>
    </row>
    <row r="205" spans="1:19" x14ac:dyDescent="0.25">
      <c r="A205" t="s">
        <v>224</v>
      </c>
      <c r="B205" t="s">
        <v>11</v>
      </c>
      <c r="C205" t="s">
        <v>17</v>
      </c>
      <c r="D205">
        <v>1</v>
      </c>
      <c r="E205" t="s">
        <v>22</v>
      </c>
      <c r="F205" t="s">
        <v>12</v>
      </c>
      <c r="G205" s="3">
        <v>3500</v>
      </c>
      <c r="H205" s="3">
        <v>1083</v>
      </c>
      <c r="I205" s="3">
        <v>135</v>
      </c>
      <c r="J205">
        <v>360</v>
      </c>
      <c r="K205">
        <v>1</v>
      </c>
      <c r="L205" t="s">
        <v>14</v>
      </c>
      <c r="M205" t="s">
        <v>15</v>
      </c>
      <c r="N205">
        <f t="shared" si="18"/>
        <v>4583</v>
      </c>
      <c r="O205" t="str">
        <f t="shared" si="19"/>
        <v>Medium</v>
      </c>
      <c r="P205" s="4">
        <f t="shared" si="20"/>
        <v>2.9456687759109753E-2</v>
      </c>
      <c r="Q205" t="str">
        <f t="shared" si="21"/>
        <v>Medium</v>
      </c>
      <c r="R205" s="19">
        <f t="shared" si="22"/>
        <v>1</v>
      </c>
      <c r="S205" t="str">
        <f t="shared" si="23"/>
        <v>1</v>
      </c>
    </row>
    <row r="206" spans="1:19" x14ac:dyDescent="0.25">
      <c r="A206" t="s">
        <v>225</v>
      </c>
      <c r="B206" t="s">
        <v>11</v>
      </c>
      <c r="C206" t="s">
        <v>17</v>
      </c>
      <c r="D206">
        <v>2</v>
      </c>
      <c r="E206" t="s">
        <v>22</v>
      </c>
      <c r="F206" t="s">
        <v>12</v>
      </c>
      <c r="G206" s="3">
        <v>3917</v>
      </c>
      <c r="H206" s="3">
        <v>0</v>
      </c>
      <c r="I206" s="3">
        <v>124</v>
      </c>
      <c r="J206">
        <v>360</v>
      </c>
      <c r="K206">
        <v>1</v>
      </c>
      <c r="L206" t="s">
        <v>27</v>
      </c>
      <c r="M206" t="s">
        <v>15</v>
      </c>
      <c r="N206">
        <f t="shared" si="18"/>
        <v>3917</v>
      </c>
      <c r="O206" t="str">
        <f t="shared" si="19"/>
        <v>Low</v>
      </c>
      <c r="P206" s="4">
        <f t="shared" si="20"/>
        <v>3.1656880265509321E-2</v>
      </c>
      <c r="Q206" t="str">
        <f t="shared" si="21"/>
        <v>Medium</v>
      </c>
      <c r="R206" s="19">
        <f t="shared" si="22"/>
        <v>1</v>
      </c>
      <c r="S206" t="str">
        <f t="shared" si="23"/>
        <v>3</v>
      </c>
    </row>
    <row r="207" spans="1:19" x14ac:dyDescent="0.25">
      <c r="A207" t="s">
        <v>226</v>
      </c>
      <c r="B207" t="s">
        <v>38</v>
      </c>
      <c r="C207" t="s">
        <v>12</v>
      </c>
      <c r="D207">
        <v>0</v>
      </c>
      <c r="E207" t="s">
        <v>22</v>
      </c>
      <c r="F207" t="s">
        <v>12</v>
      </c>
      <c r="G207" s="3">
        <v>4408</v>
      </c>
      <c r="H207" s="3">
        <v>0</v>
      </c>
      <c r="I207" s="3">
        <v>120</v>
      </c>
      <c r="J207">
        <v>360</v>
      </c>
      <c r="K207">
        <v>1</v>
      </c>
      <c r="L207" t="s">
        <v>27</v>
      </c>
      <c r="M207" t="s">
        <v>15</v>
      </c>
      <c r="N207">
        <f t="shared" si="18"/>
        <v>4408</v>
      </c>
      <c r="O207" t="str">
        <f t="shared" si="19"/>
        <v>Medium</v>
      </c>
      <c r="P207" s="4">
        <f t="shared" si="20"/>
        <v>2.7223230490018149E-2</v>
      </c>
      <c r="Q207" t="str">
        <f t="shared" si="21"/>
        <v>Medium</v>
      </c>
      <c r="R207" s="19">
        <f t="shared" si="22"/>
        <v>1</v>
      </c>
      <c r="S207" t="str">
        <f t="shared" si="23"/>
        <v>3</v>
      </c>
    </row>
    <row r="208" spans="1:19" x14ac:dyDescent="0.25">
      <c r="A208" t="s">
        <v>227</v>
      </c>
      <c r="B208" t="s">
        <v>38</v>
      </c>
      <c r="C208" t="s">
        <v>12</v>
      </c>
      <c r="D208">
        <v>0</v>
      </c>
      <c r="E208" t="s">
        <v>13</v>
      </c>
      <c r="F208" t="s">
        <v>12</v>
      </c>
      <c r="G208" s="3">
        <v>3244</v>
      </c>
      <c r="H208" s="3">
        <v>0</v>
      </c>
      <c r="I208" s="3">
        <v>80</v>
      </c>
      <c r="J208">
        <v>360</v>
      </c>
      <c r="K208">
        <v>1</v>
      </c>
      <c r="L208" t="s">
        <v>14</v>
      </c>
      <c r="M208" t="s">
        <v>15</v>
      </c>
      <c r="N208">
        <f t="shared" si="18"/>
        <v>3244</v>
      </c>
      <c r="O208" t="str">
        <f t="shared" si="19"/>
        <v>Low</v>
      </c>
      <c r="P208" s="4">
        <f t="shared" si="20"/>
        <v>2.4660912453760789E-2</v>
      </c>
      <c r="Q208" t="str">
        <f t="shared" si="21"/>
        <v>Small</v>
      </c>
      <c r="R208" s="19">
        <f t="shared" si="22"/>
        <v>1</v>
      </c>
      <c r="S208" t="str">
        <f t="shared" si="23"/>
        <v>1</v>
      </c>
    </row>
    <row r="209" spans="1:19" x14ac:dyDescent="0.25">
      <c r="A209" t="s">
        <v>228</v>
      </c>
      <c r="B209" t="s">
        <v>11</v>
      </c>
      <c r="C209" t="s">
        <v>12</v>
      </c>
      <c r="D209">
        <v>0</v>
      </c>
      <c r="E209" t="s">
        <v>22</v>
      </c>
      <c r="F209" t="s">
        <v>12</v>
      </c>
      <c r="G209" s="3">
        <v>3975</v>
      </c>
      <c r="H209" s="3">
        <v>2531</v>
      </c>
      <c r="I209" s="3">
        <v>55</v>
      </c>
      <c r="J209">
        <v>360</v>
      </c>
      <c r="K209">
        <v>1</v>
      </c>
      <c r="L209" t="s">
        <v>18</v>
      </c>
      <c r="M209" t="s">
        <v>15</v>
      </c>
      <c r="N209">
        <f t="shared" si="18"/>
        <v>6506</v>
      </c>
      <c r="O209" t="str">
        <f t="shared" si="19"/>
        <v>Medium</v>
      </c>
      <c r="P209" s="4">
        <f t="shared" si="20"/>
        <v>8.4537350138333845E-3</v>
      </c>
      <c r="Q209" t="str">
        <f t="shared" si="21"/>
        <v>Small</v>
      </c>
      <c r="R209" s="19">
        <f t="shared" si="22"/>
        <v>1</v>
      </c>
      <c r="S209" t="str">
        <f t="shared" si="23"/>
        <v>2</v>
      </c>
    </row>
    <row r="210" spans="1:19" x14ac:dyDescent="0.25">
      <c r="A210" t="s">
        <v>229</v>
      </c>
      <c r="B210" t="s">
        <v>11</v>
      </c>
      <c r="C210" t="s">
        <v>12</v>
      </c>
      <c r="D210">
        <v>0</v>
      </c>
      <c r="E210" t="s">
        <v>13</v>
      </c>
      <c r="F210" t="s">
        <v>12</v>
      </c>
      <c r="G210" s="3">
        <v>2479</v>
      </c>
      <c r="H210" s="3">
        <v>0</v>
      </c>
      <c r="I210" s="3">
        <v>59</v>
      </c>
      <c r="J210">
        <v>360</v>
      </c>
      <c r="K210">
        <v>1</v>
      </c>
      <c r="L210" t="s">
        <v>14</v>
      </c>
      <c r="M210" t="s">
        <v>15</v>
      </c>
      <c r="N210">
        <f t="shared" si="18"/>
        <v>2479</v>
      </c>
      <c r="O210" t="str">
        <f t="shared" si="19"/>
        <v>Low</v>
      </c>
      <c r="P210" s="4">
        <f t="shared" si="20"/>
        <v>2.3799919322307381E-2</v>
      </c>
      <c r="Q210" t="str">
        <f t="shared" si="21"/>
        <v>Small</v>
      </c>
      <c r="R210" s="19">
        <f t="shared" si="22"/>
        <v>1</v>
      </c>
      <c r="S210" t="str">
        <f t="shared" si="23"/>
        <v>1</v>
      </c>
    </row>
    <row r="211" spans="1:19" x14ac:dyDescent="0.25">
      <c r="A211" t="s">
        <v>230</v>
      </c>
      <c r="B211" t="s">
        <v>11</v>
      </c>
      <c r="C211" t="s">
        <v>12</v>
      </c>
      <c r="D211">
        <v>0</v>
      </c>
      <c r="E211" t="s">
        <v>13</v>
      </c>
      <c r="F211" t="s">
        <v>12</v>
      </c>
      <c r="G211" s="3">
        <v>3418</v>
      </c>
      <c r="H211" s="3">
        <v>0</v>
      </c>
      <c r="I211" s="3">
        <v>127</v>
      </c>
      <c r="J211">
        <v>360</v>
      </c>
      <c r="K211">
        <v>1</v>
      </c>
      <c r="L211" t="s">
        <v>27</v>
      </c>
      <c r="M211" t="s">
        <v>19</v>
      </c>
      <c r="N211">
        <f t="shared" si="18"/>
        <v>3418</v>
      </c>
      <c r="O211" t="str">
        <f t="shared" si="19"/>
        <v>Low</v>
      </c>
      <c r="P211" s="4">
        <f t="shared" si="20"/>
        <v>3.7156231714452898E-2</v>
      </c>
      <c r="Q211" t="str">
        <f t="shared" si="21"/>
        <v>Medium</v>
      </c>
      <c r="R211" s="19">
        <f t="shared" si="22"/>
        <v>0</v>
      </c>
      <c r="S211" t="str">
        <f t="shared" si="23"/>
        <v>3</v>
      </c>
    </row>
    <row r="212" spans="1:19" x14ac:dyDescent="0.25">
      <c r="A212" t="s">
        <v>231</v>
      </c>
      <c r="B212" t="s">
        <v>38</v>
      </c>
      <c r="C212" t="s">
        <v>12</v>
      </c>
      <c r="D212">
        <v>0</v>
      </c>
      <c r="E212" t="s">
        <v>13</v>
      </c>
      <c r="F212" t="s">
        <v>12</v>
      </c>
      <c r="G212" s="3">
        <v>10000</v>
      </c>
      <c r="H212" s="3">
        <v>0</v>
      </c>
      <c r="I212" s="3">
        <v>214</v>
      </c>
      <c r="J212">
        <v>360</v>
      </c>
      <c r="K212">
        <v>1</v>
      </c>
      <c r="L212" t="s">
        <v>27</v>
      </c>
      <c r="M212" t="s">
        <v>19</v>
      </c>
      <c r="N212">
        <f t="shared" si="18"/>
        <v>10000</v>
      </c>
      <c r="O212" t="str">
        <f t="shared" si="19"/>
        <v>High</v>
      </c>
      <c r="P212" s="4">
        <f t="shared" si="20"/>
        <v>2.1399999999999999E-2</v>
      </c>
      <c r="Q212" t="str">
        <f t="shared" si="21"/>
        <v>Large</v>
      </c>
      <c r="R212" s="19">
        <f t="shared" si="22"/>
        <v>0</v>
      </c>
      <c r="S212" t="str">
        <f t="shared" si="23"/>
        <v>3</v>
      </c>
    </row>
    <row r="213" spans="1:19" x14ac:dyDescent="0.25">
      <c r="A213" t="s">
        <v>232</v>
      </c>
      <c r="B213" t="s">
        <v>11</v>
      </c>
      <c r="C213" t="s">
        <v>17</v>
      </c>
      <c r="D213">
        <v>3</v>
      </c>
      <c r="E213" t="s">
        <v>13</v>
      </c>
      <c r="F213" t="s">
        <v>12</v>
      </c>
      <c r="G213" s="3">
        <v>3430</v>
      </c>
      <c r="H213" s="3">
        <v>1250</v>
      </c>
      <c r="I213" s="3">
        <v>128</v>
      </c>
      <c r="J213">
        <v>360</v>
      </c>
      <c r="K213">
        <v>0</v>
      </c>
      <c r="L213" t="s">
        <v>27</v>
      </c>
      <c r="M213" t="s">
        <v>19</v>
      </c>
      <c r="N213">
        <f t="shared" si="18"/>
        <v>4680</v>
      </c>
      <c r="O213" t="str">
        <f t="shared" si="19"/>
        <v>Medium</v>
      </c>
      <c r="P213" s="4">
        <f t="shared" si="20"/>
        <v>2.735042735042735E-2</v>
      </c>
      <c r="Q213" t="str">
        <f t="shared" si="21"/>
        <v>Medium</v>
      </c>
      <c r="R213" s="19">
        <f t="shared" si="22"/>
        <v>0</v>
      </c>
      <c r="S213" t="str">
        <f t="shared" si="23"/>
        <v>3</v>
      </c>
    </row>
    <row r="214" spans="1:19" x14ac:dyDescent="0.25">
      <c r="A214" t="s">
        <v>233</v>
      </c>
      <c r="B214" t="s">
        <v>11</v>
      </c>
      <c r="C214" t="s">
        <v>17</v>
      </c>
      <c r="D214">
        <v>1</v>
      </c>
      <c r="E214" t="s">
        <v>13</v>
      </c>
      <c r="F214" t="s">
        <v>17</v>
      </c>
      <c r="G214" s="3">
        <v>7787</v>
      </c>
      <c r="H214" s="3">
        <v>0</v>
      </c>
      <c r="I214" s="3">
        <v>240</v>
      </c>
      <c r="J214">
        <v>360</v>
      </c>
      <c r="K214">
        <v>1</v>
      </c>
      <c r="L214" t="s">
        <v>14</v>
      </c>
      <c r="M214" t="s">
        <v>15</v>
      </c>
      <c r="N214">
        <f t="shared" si="18"/>
        <v>7787</v>
      </c>
      <c r="O214" t="str">
        <f t="shared" si="19"/>
        <v>Medium</v>
      </c>
      <c r="P214" s="4">
        <f t="shared" si="20"/>
        <v>3.0820598433286245E-2</v>
      </c>
      <c r="Q214" t="str">
        <f t="shared" si="21"/>
        <v>Large</v>
      </c>
      <c r="R214" s="19">
        <f t="shared" si="22"/>
        <v>1</v>
      </c>
      <c r="S214" t="str">
        <f t="shared" si="23"/>
        <v>1</v>
      </c>
    </row>
    <row r="215" spans="1:19" x14ac:dyDescent="0.25">
      <c r="A215" t="s">
        <v>234</v>
      </c>
      <c r="B215" t="s">
        <v>11</v>
      </c>
      <c r="C215" t="s">
        <v>17</v>
      </c>
      <c r="D215">
        <v>3</v>
      </c>
      <c r="E215" t="s">
        <v>22</v>
      </c>
      <c r="F215" t="s">
        <v>17</v>
      </c>
      <c r="G215" s="3">
        <v>5703</v>
      </c>
      <c r="H215" s="3">
        <v>0</v>
      </c>
      <c r="I215" s="3">
        <v>130</v>
      </c>
      <c r="J215">
        <v>360</v>
      </c>
      <c r="K215">
        <v>1</v>
      </c>
      <c r="L215" t="s">
        <v>18</v>
      </c>
      <c r="M215" t="s">
        <v>15</v>
      </c>
      <c r="N215">
        <f t="shared" si="18"/>
        <v>5703</v>
      </c>
      <c r="O215" t="str">
        <f t="shared" si="19"/>
        <v>Medium</v>
      </c>
      <c r="P215" s="4">
        <f t="shared" si="20"/>
        <v>2.2795020164825531E-2</v>
      </c>
      <c r="Q215" t="str">
        <f t="shared" si="21"/>
        <v>Medium</v>
      </c>
      <c r="R215" s="19">
        <f t="shared" si="22"/>
        <v>1</v>
      </c>
      <c r="S215" t="str">
        <f t="shared" si="23"/>
        <v>2</v>
      </c>
    </row>
    <row r="216" spans="1:19" x14ac:dyDescent="0.25">
      <c r="A216" t="s">
        <v>235</v>
      </c>
      <c r="B216" t="s">
        <v>11</v>
      </c>
      <c r="C216" t="s">
        <v>17</v>
      </c>
      <c r="D216">
        <v>0</v>
      </c>
      <c r="E216" t="s">
        <v>13</v>
      </c>
      <c r="F216" t="s">
        <v>12</v>
      </c>
      <c r="G216" s="3">
        <v>3173</v>
      </c>
      <c r="H216" s="3">
        <v>3021</v>
      </c>
      <c r="I216" s="3">
        <v>137</v>
      </c>
      <c r="J216">
        <v>360</v>
      </c>
      <c r="K216">
        <v>1</v>
      </c>
      <c r="L216" t="s">
        <v>14</v>
      </c>
      <c r="M216" t="s">
        <v>15</v>
      </c>
      <c r="N216">
        <f t="shared" si="18"/>
        <v>6194</v>
      </c>
      <c r="O216" t="str">
        <f t="shared" si="19"/>
        <v>Medium</v>
      </c>
      <c r="P216" s="4">
        <f t="shared" si="20"/>
        <v>2.2118178882789795E-2</v>
      </c>
      <c r="Q216" t="str">
        <f t="shared" si="21"/>
        <v>Medium</v>
      </c>
      <c r="R216" s="19">
        <f t="shared" si="22"/>
        <v>1</v>
      </c>
      <c r="S216" t="str">
        <f t="shared" si="23"/>
        <v>1</v>
      </c>
    </row>
    <row r="217" spans="1:19" x14ac:dyDescent="0.25">
      <c r="A217" t="s">
        <v>236</v>
      </c>
      <c r="B217" t="s">
        <v>11</v>
      </c>
      <c r="C217" t="s">
        <v>17</v>
      </c>
      <c r="D217">
        <v>3</v>
      </c>
      <c r="E217" t="s">
        <v>22</v>
      </c>
      <c r="F217" t="s">
        <v>12</v>
      </c>
      <c r="G217" s="3">
        <v>3850</v>
      </c>
      <c r="H217" s="3">
        <v>983</v>
      </c>
      <c r="I217" s="3">
        <v>100</v>
      </c>
      <c r="J217">
        <v>360</v>
      </c>
      <c r="K217">
        <v>1</v>
      </c>
      <c r="L217" t="s">
        <v>27</v>
      </c>
      <c r="M217" t="s">
        <v>15</v>
      </c>
      <c r="N217">
        <f t="shared" si="18"/>
        <v>4833</v>
      </c>
      <c r="O217" t="str">
        <f t="shared" si="19"/>
        <v>Medium</v>
      </c>
      <c r="P217" s="4">
        <f t="shared" si="20"/>
        <v>2.069108214359611E-2</v>
      </c>
      <c r="Q217" t="str">
        <f t="shared" si="21"/>
        <v>Medium</v>
      </c>
      <c r="R217" s="19">
        <f t="shared" si="22"/>
        <v>1</v>
      </c>
      <c r="S217" t="str">
        <f t="shared" si="23"/>
        <v>3</v>
      </c>
    </row>
    <row r="218" spans="1:19" x14ac:dyDescent="0.25">
      <c r="A218" t="s">
        <v>237</v>
      </c>
      <c r="B218" t="s">
        <v>11</v>
      </c>
      <c r="C218" t="s">
        <v>17</v>
      </c>
      <c r="D218">
        <v>0</v>
      </c>
      <c r="E218" t="s">
        <v>13</v>
      </c>
      <c r="F218" t="s">
        <v>12</v>
      </c>
      <c r="G218" s="3">
        <v>150</v>
      </c>
      <c r="H218" s="3">
        <v>1800</v>
      </c>
      <c r="I218" s="3">
        <v>135</v>
      </c>
      <c r="J218">
        <v>360</v>
      </c>
      <c r="K218">
        <v>1</v>
      </c>
      <c r="L218" t="s">
        <v>18</v>
      </c>
      <c r="M218" t="s">
        <v>19</v>
      </c>
      <c r="N218">
        <f t="shared" si="18"/>
        <v>1950</v>
      </c>
      <c r="O218" t="str">
        <f t="shared" si="19"/>
        <v>Low</v>
      </c>
      <c r="P218" s="4">
        <f t="shared" si="20"/>
        <v>6.9230769230769235E-2</v>
      </c>
      <c r="Q218" t="str">
        <f t="shared" si="21"/>
        <v>Medium</v>
      </c>
      <c r="R218" s="19">
        <f t="shared" si="22"/>
        <v>0</v>
      </c>
      <c r="S218" t="str">
        <f t="shared" si="23"/>
        <v>2</v>
      </c>
    </row>
    <row r="219" spans="1:19" x14ac:dyDescent="0.25">
      <c r="A219" t="s">
        <v>238</v>
      </c>
      <c r="B219" t="s">
        <v>11</v>
      </c>
      <c r="C219" t="s">
        <v>17</v>
      </c>
      <c r="D219">
        <v>0</v>
      </c>
      <c r="E219" t="s">
        <v>13</v>
      </c>
      <c r="F219" t="s">
        <v>12</v>
      </c>
      <c r="G219" s="3">
        <v>3727</v>
      </c>
      <c r="H219" s="3">
        <v>1775</v>
      </c>
      <c r="I219" s="3">
        <v>131</v>
      </c>
      <c r="J219">
        <v>360</v>
      </c>
      <c r="K219">
        <v>1</v>
      </c>
      <c r="L219" t="s">
        <v>27</v>
      </c>
      <c r="M219" t="s">
        <v>15</v>
      </c>
      <c r="N219">
        <f t="shared" si="18"/>
        <v>5502</v>
      </c>
      <c r="O219" t="str">
        <f t="shared" si="19"/>
        <v>Medium</v>
      </c>
      <c r="P219" s="4">
        <f t="shared" si="20"/>
        <v>2.3809523809523808E-2</v>
      </c>
      <c r="Q219" t="str">
        <f t="shared" si="21"/>
        <v>Medium</v>
      </c>
      <c r="R219" s="19">
        <f t="shared" si="22"/>
        <v>1</v>
      </c>
      <c r="S219" t="str">
        <f t="shared" si="23"/>
        <v>3</v>
      </c>
    </row>
    <row r="220" spans="1:19" x14ac:dyDescent="0.25">
      <c r="A220" t="s">
        <v>239</v>
      </c>
      <c r="B220" t="s">
        <v>11</v>
      </c>
      <c r="C220" t="s">
        <v>17</v>
      </c>
      <c r="D220">
        <v>2</v>
      </c>
      <c r="E220" t="s">
        <v>13</v>
      </c>
      <c r="F220" t="s">
        <v>12</v>
      </c>
      <c r="G220" s="3">
        <v>5000</v>
      </c>
      <c r="H220" s="3">
        <v>0</v>
      </c>
      <c r="I220" s="3">
        <v>72</v>
      </c>
      <c r="J220">
        <v>360</v>
      </c>
      <c r="K220">
        <v>0</v>
      </c>
      <c r="L220" t="s">
        <v>27</v>
      </c>
      <c r="M220" t="s">
        <v>19</v>
      </c>
      <c r="N220">
        <f t="shared" si="18"/>
        <v>5000</v>
      </c>
      <c r="O220" t="str">
        <f t="shared" si="19"/>
        <v>Medium</v>
      </c>
      <c r="P220" s="4">
        <f t="shared" si="20"/>
        <v>1.44E-2</v>
      </c>
      <c r="Q220" t="str">
        <f t="shared" si="21"/>
        <v>Small</v>
      </c>
      <c r="R220" s="19">
        <f t="shared" si="22"/>
        <v>0</v>
      </c>
      <c r="S220" t="str">
        <f t="shared" si="23"/>
        <v>3</v>
      </c>
    </row>
    <row r="221" spans="1:19" x14ac:dyDescent="0.25">
      <c r="A221" t="s">
        <v>240</v>
      </c>
      <c r="B221" t="s">
        <v>38</v>
      </c>
      <c r="C221" t="s">
        <v>17</v>
      </c>
      <c r="D221">
        <v>2</v>
      </c>
      <c r="E221" t="s">
        <v>13</v>
      </c>
      <c r="F221" t="s">
        <v>12</v>
      </c>
      <c r="G221" s="3">
        <v>4283</v>
      </c>
      <c r="H221" s="3">
        <v>2383</v>
      </c>
      <c r="I221" s="3">
        <v>127</v>
      </c>
      <c r="J221">
        <v>360</v>
      </c>
      <c r="K221">
        <v>1</v>
      </c>
      <c r="L221" t="s">
        <v>27</v>
      </c>
      <c r="M221" t="s">
        <v>15</v>
      </c>
      <c r="N221">
        <f t="shared" si="18"/>
        <v>6666</v>
      </c>
      <c r="O221" t="str">
        <f t="shared" si="19"/>
        <v>Medium</v>
      </c>
      <c r="P221" s="4">
        <f t="shared" si="20"/>
        <v>1.9051905190519053E-2</v>
      </c>
      <c r="Q221" t="str">
        <f t="shared" si="21"/>
        <v>Medium</v>
      </c>
      <c r="R221" s="19">
        <f t="shared" si="22"/>
        <v>1</v>
      </c>
      <c r="S221" t="str">
        <f t="shared" si="23"/>
        <v>3</v>
      </c>
    </row>
    <row r="222" spans="1:19" x14ac:dyDescent="0.25">
      <c r="A222" t="s">
        <v>241</v>
      </c>
      <c r="B222" t="s">
        <v>11</v>
      </c>
      <c r="C222" t="s">
        <v>17</v>
      </c>
      <c r="D222">
        <v>0</v>
      </c>
      <c r="E222" t="s">
        <v>13</v>
      </c>
      <c r="F222" t="s">
        <v>12</v>
      </c>
      <c r="G222" s="3">
        <v>2221</v>
      </c>
      <c r="H222" s="3">
        <v>0</v>
      </c>
      <c r="I222" s="3">
        <v>60</v>
      </c>
      <c r="J222">
        <v>360</v>
      </c>
      <c r="K222">
        <v>0</v>
      </c>
      <c r="L222" t="s">
        <v>14</v>
      </c>
      <c r="M222" t="s">
        <v>19</v>
      </c>
      <c r="N222">
        <f t="shared" si="18"/>
        <v>2221</v>
      </c>
      <c r="O222" t="str">
        <f t="shared" si="19"/>
        <v>Low</v>
      </c>
      <c r="P222" s="4">
        <f t="shared" si="20"/>
        <v>2.7014858171994598E-2</v>
      </c>
      <c r="Q222" t="str">
        <f t="shared" si="21"/>
        <v>Small</v>
      </c>
      <c r="R222" s="19">
        <f t="shared" si="22"/>
        <v>0</v>
      </c>
      <c r="S222" t="str">
        <f t="shared" si="23"/>
        <v>1</v>
      </c>
    </row>
    <row r="223" spans="1:19" x14ac:dyDescent="0.25">
      <c r="A223" t="s">
        <v>242</v>
      </c>
      <c r="B223" t="s">
        <v>11</v>
      </c>
      <c r="C223" t="s">
        <v>17</v>
      </c>
      <c r="D223">
        <v>2</v>
      </c>
      <c r="E223" t="s">
        <v>13</v>
      </c>
      <c r="F223" t="s">
        <v>12</v>
      </c>
      <c r="G223" s="3">
        <v>4009</v>
      </c>
      <c r="H223" s="3">
        <v>1717</v>
      </c>
      <c r="I223" s="3">
        <v>116</v>
      </c>
      <c r="J223">
        <v>360</v>
      </c>
      <c r="K223">
        <v>1</v>
      </c>
      <c r="L223" t="s">
        <v>27</v>
      </c>
      <c r="M223" t="s">
        <v>15</v>
      </c>
      <c r="N223">
        <f t="shared" si="18"/>
        <v>5726</v>
      </c>
      <c r="O223" t="str">
        <f t="shared" si="19"/>
        <v>Medium</v>
      </c>
      <c r="P223" s="4">
        <f t="shared" si="20"/>
        <v>2.0258470136220747E-2</v>
      </c>
      <c r="Q223" t="str">
        <f t="shared" si="21"/>
        <v>Medium</v>
      </c>
      <c r="R223" s="19">
        <f t="shared" si="22"/>
        <v>1</v>
      </c>
      <c r="S223" t="str">
        <f t="shared" si="23"/>
        <v>3</v>
      </c>
    </row>
    <row r="224" spans="1:19" x14ac:dyDescent="0.25">
      <c r="A224" t="s">
        <v>243</v>
      </c>
      <c r="B224" t="s">
        <v>11</v>
      </c>
      <c r="C224" t="s">
        <v>12</v>
      </c>
      <c r="D224">
        <v>0</v>
      </c>
      <c r="E224" t="s">
        <v>13</v>
      </c>
      <c r="F224" t="s">
        <v>12</v>
      </c>
      <c r="G224" s="3">
        <v>2971</v>
      </c>
      <c r="H224" s="3">
        <v>2791</v>
      </c>
      <c r="I224" s="3">
        <v>144</v>
      </c>
      <c r="J224">
        <v>360</v>
      </c>
      <c r="K224">
        <v>1</v>
      </c>
      <c r="L224" t="s">
        <v>27</v>
      </c>
      <c r="M224" t="s">
        <v>15</v>
      </c>
      <c r="N224">
        <f t="shared" si="18"/>
        <v>5762</v>
      </c>
      <c r="O224" t="str">
        <f t="shared" si="19"/>
        <v>Medium</v>
      </c>
      <c r="P224" s="4">
        <f t="shared" si="20"/>
        <v>2.4991322457480043E-2</v>
      </c>
      <c r="Q224" t="str">
        <f t="shared" si="21"/>
        <v>Medium</v>
      </c>
      <c r="R224" s="19">
        <f t="shared" si="22"/>
        <v>1</v>
      </c>
      <c r="S224" t="str">
        <f t="shared" si="23"/>
        <v>3</v>
      </c>
    </row>
    <row r="225" spans="1:19" x14ac:dyDescent="0.25">
      <c r="A225" t="s">
        <v>244</v>
      </c>
      <c r="B225" t="s">
        <v>11</v>
      </c>
      <c r="C225" t="s">
        <v>17</v>
      </c>
      <c r="D225">
        <v>0</v>
      </c>
      <c r="E225" t="s">
        <v>13</v>
      </c>
      <c r="F225" t="s">
        <v>12</v>
      </c>
      <c r="G225" s="3">
        <v>7578</v>
      </c>
      <c r="H225" s="3">
        <v>1010</v>
      </c>
      <c r="I225" s="3">
        <v>175</v>
      </c>
      <c r="J225">
        <v>360</v>
      </c>
      <c r="K225">
        <v>1</v>
      </c>
      <c r="L225" t="s">
        <v>27</v>
      </c>
      <c r="M225" t="s">
        <v>15</v>
      </c>
      <c r="N225">
        <f t="shared" si="18"/>
        <v>8588</v>
      </c>
      <c r="O225" t="str">
        <f t="shared" si="19"/>
        <v>High</v>
      </c>
      <c r="P225" s="4">
        <f t="shared" si="20"/>
        <v>2.0377270610153701E-2</v>
      </c>
      <c r="Q225" t="str">
        <f t="shared" si="21"/>
        <v>Medium</v>
      </c>
      <c r="R225" s="19">
        <f t="shared" si="22"/>
        <v>1</v>
      </c>
      <c r="S225" t="str">
        <f t="shared" si="23"/>
        <v>3</v>
      </c>
    </row>
    <row r="226" spans="1:19" x14ac:dyDescent="0.25">
      <c r="A226" t="s">
        <v>245</v>
      </c>
      <c r="B226" t="s">
        <v>11</v>
      </c>
      <c r="C226" t="s">
        <v>17</v>
      </c>
      <c r="D226">
        <v>0</v>
      </c>
      <c r="E226" t="s">
        <v>13</v>
      </c>
      <c r="F226" t="s">
        <v>12</v>
      </c>
      <c r="G226" s="3">
        <v>6250</v>
      </c>
      <c r="H226" s="3">
        <v>0</v>
      </c>
      <c r="I226" s="3">
        <v>128</v>
      </c>
      <c r="J226">
        <v>360</v>
      </c>
      <c r="K226">
        <v>1</v>
      </c>
      <c r="L226" t="s">
        <v>27</v>
      </c>
      <c r="M226" t="s">
        <v>15</v>
      </c>
      <c r="N226">
        <f t="shared" si="18"/>
        <v>6250</v>
      </c>
      <c r="O226" t="str">
        <f t="shared" si="19"/>
        <v>Medium</v>
      </c>
      <c r="P226" s="4">
        <f t="shared" si="20"/>
        <v>2.0480000000000002E-2</v>
      </c>
      <c r="Q226" t="str">
        <f t="shared" si="21"/>
        <v>Medium</v>
      </c>
      <c r="R226" s="19">
        <f t="shared" si="22"/>
        <v>1</v>
      </c>
      <c r="S226" t="str">
        <f t="shared" si="23"/>
        <v>3</v>
      </c>
    </row>
    <row r="227" spans="1:19" x14ac:dyDescent="0.25">
      <c r="A227" t="s">
        <v>246</v>
      </c>
      <c r="B227" t="s">
        <v>11</v>
      </c>
      <c r="C227" t="s">
        <v>17</v>
      </c>
      <c r="D227">
        <v>0</v>
      </c>
      <c r="E227" t="s">
        <v>13</v>
      </c>
      <c r="F227" t="s">
        <v>12</v>
      </c>
      <c r="G227" s="3">
        <v>3250</v>
      </c>
      <c r="H227" s="3">
        <v>0</v>
      </c>
      <c r="I227" s="3">
        <v>170</v>
      </c>
      <c r="J227">
        <v>360</v>
      </c>
      <c r="K227">
        <v>1</v>
      </c>
      <c r="L227" t="s">
        <v>18</v>
      </c>
      <c r="M227" t="s">
        <v>19</v>
      </c>
      <c r="N227">
        <f t="shared" si="18"/>
        <v>3250</v>
      </c>
      <c r="O227" t="str">
        <f t="shared" si="19"/>
        <v>Low</v>
      </c>
      <c r="P227" s="4">
        <f t="shared" si="20"/>
        <v>5.2307692307692305E-2</v>
      </c>
      <c r="Q227" t="str">
        <f t="shared" si="21"/>
        <v>Medium</v>
      </c>
      <c r="R227" s="19">
        <f t="shared" si="22"/>
        <v>0</v>
      </c>
      <c r="S227" t="str">
        <f t="shared" si="23"/>
        <v>2</v>
      </c>
    </row>
    <row r="228" spans="1:19" x14ac:dyDescent="0.25">
      <c r="A228" t="s">
        <v>247</v>
      </c>
      <c r="B228" t="s">
        <v>11</v>
      </c>
      <c r="C228" t="s">
        <v>17</v>
      </c>
      <c r="D228">
        <v>0</v>
      </c>
      <c r="E228" t="s">
        <v>22</v>
      </c>
      <c r="F228" t="s">
        <v>17</v>
      </c>
      <c r="G228" s="3">
        <v>4735</v>
      </c>
      <c r="H228" s="3">
        <v>0</v>
      </c>
      <c r="I228" s="3">
        <v>138</v>
      </c>
      <c r="J228">
        <v>360</v>
      </c>
      <c r="K228">
        <v>1</v>
      </c>
      <c r="L228" t="s">
        <v>14</v>
      </c>
      <c r="M228" t="s">
        <v>19</v>
      </c>
      <c r="N228">
        <f t="shared" si="18"/>
        <v>4735</v>
      </c>
      <c r="O228" t="str">
        <f t="shared" si="19"/>
        <v>Medium</v>
      </c>
      <c r="P228" s="4">
        <f t="shared" si="20"/>
        <v>2.9144667370644139E-2</v>
      </c>
      <c r="Q228" t="str">
        <f t="shared" si="21"/>
        <v>Medium</v>
      </c>
      <c r="R228" s="19">
        <f t="shared" si="22"/>
        <v>0</v>
      </c>
      <c r="S228" t="str">
        <f t="shared" si="23"/>
        <v>1</v>
      </c>
    </row>
    <row r="229" spans="1:19" x14ac:dyDescent="0.25">
      <c r="A229" t="s">
        <v>248</v>
      </c>
      <c r="B229" t="s">
        <v>11</v>
      </c>
      <c r="C229" t="s">
        <v>17</v>
      </c>
      <c r="D229">
        <v>2</v>
      </c>
      <c r="E229" t="s">
        <v>13</v>
      </c>
      <c r="F229" t="s">
        <v>12</v>
      </c>
      <c r="G229" s="3">
        <v>6250</v>
      </c>
      <c r="H229" s="3">
        <v>1695</v>
      </c>
      <c r="I229" s="3">
        <v>210</v>
      </c>
      <c r="J229">
        <v>360</v>
      </c>
      <c r="K229">
        <v>1</v>
      </c>
      <c r="L229" t="s">
        <v>27</v>
      </c>
      <c r="M229" t="s">
        <v>15</v>
      </c>
      <c r="N229">
        <f t="shared" si="18"/>
        <v>7945</v>
      </c>
      <c r="O229" t="str">
        <f t="shared" si="19"/>
        <v>Medium</v>
      </c>
      <c r="P229" s="4">
        <f t="shared" si="20"/>
        <v>2.643171806167401E-2</v>
      </c>
      <c r="Q229" t="str">
        <f t="shared" si="21"/>
        <v>Large</v>
      </c>
      <c r="R229" s="19">
        <f t="shared" si="22"/>
        <v>1</v>
      </c>
      <c r="S229" t="str">
        <f t="shared" si="23"/>
        <v>3</v>
      </c>
    </row>
    <row r="230" spans="1:19" x14ac:dyDescent="0.25">
      <c r="A230" t="s">
        <v>249</v>
      </c>
      <c r="B230" t="s">
        <v>11</v>
      </c>
      <c r="C230" t="s">
        <v>17</v>
      </c>
      <c r="D230">
        <v>0</v>
      </c>
      <c r="E230" t="s">
        <v>13</v>
      </c>
      <c r="F230" t="s">
        <v>12</v>
      </c>
      <c r="G230" s="3">
        <v>4758</v>
      </c>
      <c r="H230" s="3">
        <v>0</v>
      </c>
      <c r="I230" s="3">
        <v>158</v>
      </c>
      <c r="J230">
        <v>480</v>
      </c>
      <c r="K230">
        <v>1</v>
      </c>
      <c r="L230" t="s">
        <v>27</v>
      </c>
      <c r="M230" t="s">
        <v>15</v>
      </c>
      <c r="N230">
        <f t="shared" si="18"/>
        <v>4758</v>
      </c>
      <c r="O230" t="str">
        <f t="shared" si="19"/>
        <v>Medium</v>
      </c>
      <c r="P230" s="4">
        <f t="shared" si="20"/>
        <v>3.3207229928541401E-2</v>
      </c>
      <c r="Q230" t="str">
        <f t="shared" si="21"/>
        <v>Medium</v>
      </c>
      <c r="R230" s="19">
        <f t="shared" si="22"/>
        <v>1</v>
      </c>
      <c r="S230" t="str">
        <f t="shared" si="23"/>
        <v>3</v>
      </c>
    </row>
    <row r="231" spans="1:19" x14ac:dyDescent="0.25">
      <c r="A231" t="s">
        <v>250</v>
      </c>
      <c r="B231" t="s">
        <v>11</v>
      </c>
      <c r="C231" t="s">
        <v>12</v>
      </c>
      <c r="D231">
        <v>0</v>
      </c>
      <c r="E231" t="s">
        <v>13</v>
      </c>
      <c r="F231" t="s">
        <v>17</v>
      </c>
      <c r="G231" s="3">
        <v>6400</v>
      </c>
      <c r="H231" s="3">
        <v>0</v>
      </c>
      <c r="I231" s="3">
        <v>200</v>
      </c>
      <c r="J231">
        <v>360</v>
      </c>
      <c r="K231">
        <v>1</v>
      </c>
      <c r="L231" t="s">
        <v>18</v>
      </c>
      <c r="M231" t="s">
        <v>15</v>
      </c>
      <c r="N231">
        <f t="shared" si="18"/>
        <v>6400</v>
      </c>
      <c r="O231" t="str">
        <f t="shared" si="19"/>
        <v>Medium</v>
      </c>
      <c r="P231" s="4">
        <f t="shared" si="20"/>
        <v>3.125E-2</v>
      </c>
      <c r="Q231" t="str">
        <f t="shared" si="21"/>
        <v>Large</v>
      </c>
      <c r="R231" s="19">
        <f t="shared" si="22"/>
        <v>1</v>
      </c>
      <c r="S231" t="str">
        <f t="shared" si="23"/>
        <v>2</v>
      </c>
    </row>
    <row r="232" spans="1:19" x14ac:dyDescent="0.25">
      <c r="A232" t="s">
        <v>251</v>
      </c>
      <c r="B232" t="s">
        <v>11</v>
      </c>
      <c r="C232" t="s">
        <v>17</v>
      </c>
      <c r="D232">
        <v>1</v>
      </c>
      <c r="E232" t="s">
        <v>13</v>
      </c>
      <c r="F232" t="s">
        <v>12</v>
      </c>
      <c r="G232" s="3">
        <v>2491</v>
      </c>
      <c r="H232" s="3">
        <v>2054</v>
      </c>
      <c r="I232" s="3">
        <v>104</v>
      </c>
      <c r="J232">
        <v>360</v>
      </c>
      <c r="K232">
        <v>1</v>
      </c>
      <c r="L232" t="s">
        <v>27</v>
      </c>
      <c r="M232" t="s">
        <v>15</v>
      </c>
      <c r="N232">
        <f t="shared" si="18"/>
        <v>4545</v>
      </c>
      <c r="O232" t="str">
        <f t="shared" si="19"/>
        <v>Medium</v>
      </c>
      <c r="P232" s="4">
        <f t="shared" si="20"/>
        <v>2.2882288228822881E-2</v>
      </c>
      <c r="Q232" t="str">
        <f t="shared" si="21"/>
        <v>Medium</v>
      </c>
      <c r="R232" s="19">
        <f t="shared" si="22"/>
        <v>1</v>
      </c>
      <c r="S232" t="str">
        <f t="shared" si="23"/>
        <v>3</v>
      </c>
    </row>
    <row r="233" spans="1:19" x14ac:dyDescent="0.25">
      <c r="A233" t="s">
        <v>252</v>
      </c>
      <c r="B233" t="s">
        <v>11</v>
      </c>
      <c r="C233" t="s">
        <v>17</v>
      </c>
      <c r="D233">
        <v>0</v>
      </c>
      <c r="E233" t="s">
        <v>13</v>
      </c>
      <c r="F233" t="s">
        <v>12</v>
      </c>
      <c r="G233" s="3">
        <v>3716</v>
      </c>
      <c r="H233" s="3">
        <v>0</v>
      </c>
      <c r="I233" s="3">
        <v>42</v>
      </c>
      <c r="J233">
        <v>180</v>
      </c>
      <c r="K233">
        <v>1</v>
      </c>
      <c r="L233" t="s">
        <v>18</v>
      </c>
      <c r="M233" t="s">
        <v>15</v>
      </c>
      <c r="N233">
        <f t="shared" si="18"/>
        <v>3716</v>
      </c>
      <c r="O233" t="str">
        <f t="shared" si="19"/>
        <v>Low</v>
      </c>
      <c r="P233" s="4">
        <f t="shared" si="20"/>
        <v>1.1302475780409042E-2</v>
      </c>
      <c r="Q233" t="str">
        <f t="shared" si="21"/>
        <v>Small</v>
      </c>
      <c r="R233" s="19">
        <f t="shared" si="22"/>
        <v>1</v>
      </c>
      <c r="S233" t="str">
        <f t="shared" si="23"/>
        <v>2</v>
      </c>
    </row>
    <row r="234" spans="1:19" x14ac:dyDescent="0.25">
      <c r="A234" t="s">
        <v>253</v>
      </c>
      <c r="B234" t="s">
        <v>11</v>
      </c>
      <c r="C234" t="s">
        <v>12</v>
      </c>
      <c r="D234">
        <v>0</v>
      </c>
      <c r="E234" t="s">
        <v>22</v>
      </c>
      <c r="F234" t="s">
        <v>12</v>
      </c>
      <c r="G234" s="3">
        <v>3189</v>
      </c>
      <c r="H234" s="3">
        <v>2598</v>
      </c>
      <c r="I234" s="3">
        <v>120</v>
      </c>
      <c r="J234">
        <v>360</v>
      </c>
      <c r="K234">
        <v>1</v>
      </c>
      <c r="L234" t="s">
        <v>18</v>
      </c>
      <c r="M234" t="s">
        <v>15</v>
      </c>
      <c r="N234">
        <f t="shared" si="18"/>
        <v>5787</v>
      </c>
      <c r="O234" t="str">
        <f t="shared" si="19"/>
        <v>Medium</v>
      </c>
      <c r="P234" s="4">
        <f t="shared" si="20"/>
        <v>2.0736132711249352E-2</v>
      </c>
      <c r="Q234" t="str">
        <f t="shared" si="21"/>
        <v>Medium</v>
      </c>
      <c r="R234" s="19">
        <f t="shared" si="22"/>
        <v>1</v>
      </c>
      <c r="S234" t="str">
        <f t="shared" si="23"/>
        <v>2</v>
      </c>
    </row>
    <row r="235" spans="1:19" x14ac:dyDescent="0.25">
      <c r="A235" t="s">
        <v>254</v>
      </c>
      <c r="B235" t="s">
        <v>38</v>
      </c>
      <c r="C235" t="s">
        <v>12</v>
      </c>
      <c r="D235">
        <v>0</v>
      </c>
      <c r="E235" t="s">
        <v>13</v>
      </c>
      <c r="F235" t="s">
        <v>12</v>
      </c>
      <c r="G235" s="3">
        <v>8333</v>
      </c>
      <c r="H235" s="3">
        <v>0</v>
      </c>
      <c r="I235" s="3">
        <v>280</v>
      </c>
      <c r="J235">
        <v>360</v>
      </c>
      <c r="K235">
        <v>1</v>
      </c>
      <c r="L235" t="s">
        <v>27</v>
      </c>
      <c r="M235" t="s">
        <v>15</v>
      </c>
      <c r="N235">
        <f t="shared" si="18"/>
        <v>8333</v>
      </c>
      <c r="O235" t="str">
        <f t="shared" si="19"/>
        <v>High</v>
      </c>
      <c r="P235" s="4">
        <f t="shared" si="20"/>
        <v>3.3601344053762153E-2</v>
      </c>
      <c r="Q235" t="str">
        <f t="shared" si="21"/>
        <v>Large</v>
      </c>
      <c r="R235" s="19">
        <f t="shared" si="22"/>
        <v>1</v>
      </c>
      <c r="S235" t="str">
        <f t="shared" si="23"/>
        <v>3</v>
      </c>
    </row>
    <row r="236" spans="1:19" x14ac:dyDescent="0.25">
      <c r="A236" t="s">
        <v>255</v>
      </c>
      <c r="B236" t="s">
        <v>11</v>
      </c>
      <c r="C236" t="s">
        <v>17</v>
      </c>
      <c r="D236">
        <v>1</v>
      </c>
      <c r="E236" t="s">
        <v>13</v>
      </c>
      <c r="F236" t="s">
        <v>12</v>
      </c>
      <c r="G236" s="3">
        <v>3155</v>
      </c>
      <c r="H236" s="3">
        <v>1779</v>
      </c>
      <c r="I236" s="3">
        <v>140</v>
      </c>
      <c r="J236">
        <v>360</v>
      </c>
      <c r="K236">
        <v>1</v>
      </c>
      <c r="L236" t="s">
        <v>27</v>
      </c>
      <c r="M236" t="s">
        <v>15</v>
      </c>
      <c r="N236">
        <f t="shared" si="18"/>
        <v>4934</v>
      </c>
      <c r="O236" t="str">
        <f t="shared" si="19"/>
        <v>Medium</v>
      </c>
      <c r="P236" s="4">
        <f t="shared" si="20"/>
        <v>2.837454398054317E-2</v>
      </c>
      <c r="Q236" t="str">
        <f t="shared" si="21"/>
        <v>Medium</v>
      </c>
      <c r="R236" s="19">
        <f t="shared" si="22"/>
        <v>1</v>
      </c>
      <c r="S236" t="str">
        <f t="shared" si="23"/>
        <v>3</v>
      </c>
    </row>
    <row r="237" spans="1:19" x14ac:dyDescent="0.25">
      <c r="A237" t="s">
        <v>256</v>
      </c>
      <c r="B237" t="s">
        <v>11</v>
      </c>
      <c r="C237" t="s">
        <v>17</v>
      </c>
      <c r="D237">
        <v>1</v>
      </c>
      <c r="E237" t="s">
        <v>13</v>
      </c>
      <c r="F237" t="s">
        <v>12</v>
      </c>
      <c r="G237" s="3">
        <v>5500</v>
      </c>
      <c r="H237" s="3">
        <v>1260</v>
      </c>
      <c r="I237" s="3">
        <v>170</v>
      </c>
      <c r="J237">
        <v>360</v>
      </c>
      <c r="K237">
        <v>1</v>
      </c>
      <c r="L237" t="s">
        <v>18</v>
      </c>
      <c r="M237" t="s">
        <v>15</v>
      </c>
      <c r="N237">
        <f t="shared" si="18"/>
        <v>6760</v>
      </c>
      <c r="O237" t="str">
        <f t="shared" si="19"/>
        <v>Medium</v>
      </c>
      <c r="P237" s="4">
        <f t="shared" si="20"/>
        <v>2.514792899408284E-2</v>
      </c>
      <c r="Q237" t="str">
        <f t="shared" si="21"/>
        <v>Medium</v>
      </c>
      <c r="R237" s="19">
        <f t="shared" si="22"/>
        <v>1</v>
      </c>
      <c r="S237" t="str">
        <f t="shared" si="23"/>
        <v>2</v>
      </c>
    </row>
    <row r="238" spans="1:19" x14ac:dyDescent="0.25">
      <c r="A238" t="s">
        <v>257</v>
      </c>
      <c r="B238" t="s">
        <v>11</v>
      </c>
      <c r="C238" t="s">
        <v>17</v>
      </c>
      <c r="D238">
        <v>0</v>
      </c>
      <c r="E238" t="s">
        <v>13</v>
      </c>
      <c r="F238" t="s">
        <v>12</v>
      </c>
      <c r="G238" s="3">
        <v>5746</v>
      </c>
      <c r="H238" s="3">
        <v>0</v>
      </c>
      <c r="I238" s="3">
        <v>255</v>
      </c>
      <c r="J238">
        <v>360</v>
      </c>
      <c r="K238">
        <v>1</v>
      </c>
      <c r="L238" t="s">
        <v>14</v>
      </c>
      <c r="M238" t="s">
        <v>19</v>
      </c>
      <c r="N238">
        <f t="shared" si="18"/>
        <v>5746</v>
      </c>
      <c r="O238" t="str">
        <f t="shared" si="19"/>
        <v>Medium</v>
      </c>
      <c r="P238" s="4">
        <f t="shared" si="20"/>
        <v>4.4378698224852069E-2</v>
      </c>
      <c r="Q238" t="str">
        <f t="shared" si="21"/>
        <v>Large</v>
      </c>
      <c r="R238" s="19">
        <f t="shared" si="22"/>
        <v>0</v>
      </c>
      <c r="S238" t="str">
        <f t="shared" si="23"/>
        <v>1</v>
      </c>
    </row>
    <row r="239" spans="1:19" x14ac:dyDescent="0.25">
      <c r="A239" t="s">
        <v>258</v>
      </c>
      <c r="B239" t="s">
        <v>38</v>
      </c>
      <c r="C239" t="s">
        <v>12</v>
      </c>
      <c r="D239">
        <v>0</v>
      </c>
      <c r="E239" t="s">
        <v>13</v>
      </c>
      <c r="F239" t="s">
        <v>17</v>
      </c>
      <c r="G239" s="3">
        <v>3463</v>
      </c>
      <c r="H239" s="3">
        <v>0</v>
      </c>
      <c r="I239" s="3">
        <v>122</v>
      </c>
      <c r="J239">
        <v>360</v>
      </c>
      <c r="K239">
        <v>1</v>
      </c>
      <c r="L239" t="s">
        <v>14</v>
      </c>
      <c r="M239" t="s">
        <v>15</v>
      </c>
      <c r="N239">
        <f t="shared" si="18"/>
        <v>3463</v>
      </c>
      <c r="O239" t="str">
        <f t="shared" si="19"/>
        <v>Low</v>
      </c>
      <c r="P239" s="4">
        <f t="shared" si="20"/>
        <v>3.5229569737222063E-2</v>
      </c>
      <c r="Q239" t="str">
        <f t="shared" si="21"/>
        <v>Medium</v>
      </c>
      <c r="R239" s="19">
        <f t="shared" si="22"/>
        <v>1</v>
      </c>
      <c r="S239" t="str">
        <f t="shared" si="23"/>
        <v>1</v>
      </c>
    </row>
    <row r="240" spans="1:19" x14ac:dyDescent="0.25">
      <c r="A240" t="s">
        <v>259</v>
      </c>
      <c r="B240" t="s">
        <v>38</v>
      </c>
      <c r="C240" t="s">
        <v>12</v>
      </c>
      <c r="D240">
        <v>1</v>
      </c>
      <c r="E240" t="s">
        <v>13</v>
      </c>
      <c r="F240" t="s">
        <v>12</v>
      </c>
      <c r="G240" s="3">
        <v>3812</v>
      </c>
      <c r="H240" s="3">
        <v>0</v>
      </c>
      <c r="I240" s="3">
        <v>112</v>
      </c>
      <c r="J240">
        <v>360</v>
      </c>
      <c r="K240">
        <v>1</v>
      </c>
      <c r="L240" t="s">
        <v>18</v>
      </c>
      <c r="M240" t="s">
        <v>15</v>
      </c>
      <c r="N240">
        <f t="shared" si="18"/>
        <v>3812</v>
      </c>
      <c r="O240" t="str">
        <f t="shared" si="19"/>
        <v>Low</v>
      </c>
      <c r="P240" s="4">
        <f t="shared" si="20"/>
        <v>2.9380902413431269E-2</v>
      </c>
      <c r="Q240" t="str">
        <f t="shared" si="21"/>
        <v>Medium</v>
      </c>
      <c r="R240" s="19">
        <f t="shared" si="22"/>
        <v>1</v>
      </c>
      <c r="S240" t="str">
        <f t="shared" si="23"/>
        <v>2</v>
      </c>
    </row>
    <row r="241" spans="1:19" x14ac:dyDescent="0.25">
      <c r="A241" t="s">
        <v>260</v>
      </c>
      <c r="B241" t="s">
        <v>11</v>
      </c>
      <c r="C241" t="s">
        <v>17</v>
      </c>
      <c r="D241">
        <v>1</v>
      </c>
      <c r="E241" t="s">
        <v>13</v>
      </c>
      <c r="F241" t="s">
        <v>12</v>
      </c>
      <c r="G241" s="3">
        <v>3315</v>
      </c>
      <c r="H241" s="3">
        <v>0</v>
      </c>
      <c r="I241" s="3">
        <v>96</v>
      </c>
      <c r="J241">
        <v>360</v>
      </c>
      <c r="K241">
        <v>1</v>
      </c>
      <c r="L241" t="s">
        <v>27</v>
      </c>
      <c r="M241" t="s">
        <v>15</v>
      </c>
      <c r="N241">
        <f t="shared" si="18"/>
        <v>3315</v>
      </c>
      <c r="O241" t="str">
        <f t="shared" si="19"/>
        <v>Low</v>
      </c>
      <c r="P241" s="4">
        <f t="shared" si="20"/>
        <v>2.8959276018099549E-2</v>
      </c>
      <c r="Q241" t="str">
        <f t="shared" si="21"/>
        <v>Small</v>
      </c>
      <c r="R241" s="19">
        <f t="shared" si="22"/>
        <v>1</v>
      </c>
      <c r="S241" t="str">
        <f t="shared" si="23"/>
        <v>3</v>
      </c>
    </row>
    <row r="242" spans="1:19" x14ac:dyDescent="0.25">
      <c r="A242" t="s">
        <v>261</v>
      </c>
      <c r="B242" t="s">
        <v>11</v>
      </c>
      <c r="C242" t="s">
        <v>17</v>
      </c>
      <c r="D242">
        <v>2</v>
      </c>
      <c r="E242" t="s">
        <v>13</v>
      </c>
      <c r="F242" t="s">
        <v>12</v>
      </c>
      <c r="G242" s="3">
        <v>5819</v>
      </c>
      <c r="H242" s="3">
        <v>5000</v>
      </c>
      <c r="I242" s="3">
        <v>120</v>
      </c>
      <c r="J242">
        <v>360</v>
      </c>
      <c r="K242">
        <v>1</v>
      </c>
      <c r="L242" t="s">
        <v>18</v>
      </c>
      <c r="M242" t="s">
        <v>15</v>
      </c>
      <c r="N242">
        <f t="shared" si="18"/>
        <v>10819</v>
      </c>
      <c r="O242" t="str">
        <f t="shared" si="19"/>
        <v>High</v>
      </c>
      <c r="P242" s="4">
        <f t="shared" si="20"/>
        <v>1.109159811442832E-2</v>
      </c>
      <c r="Q242" t="str">
        <f t="shared" si="21"/>
        <v>Medium</v>
      </c>
      <c r="R242" s="19">
        <f t="shared" si="22"/>
        <v>1</v>
      </c>
      <c r="S242" t="str">
        <f t="shared" si="23"/>
        <v>2</v>
      </c>
    </row>
    <row r="243" spans="1:19" x14ac:dyDescent="0.25">
      <c r="A243" t="s">
        <v>262</v>
      </c>
      <c r="B243" t="s">
        <v>11</v>
      </c>
      <c r="C243" t="s">
        <v>17</v>
      </c>
      <c r="D243">
        <v>1</v>
      </c>
      <c r="E243" t="s">
        <v>22</v>
      </c>
      <c r="F243" t="s">
        <v>12</v>
      </c>
      <c r="G243" s="3">
        <v>2510</v>
      </c>
      <c r="H243" s="3">
        <v>1983</v>
      </c>
      <c r="I243" s="3">
        <v>140</v>
      </c>
      <c r="J243">
        <v>180</v>
      </c>
      <c r="K243">
        <v>1</v>
      </c>
      <c r="L243" t="s">
        <v>14</v>
      </c>
      <c r="M243" t="s">
        <v>19</v>
      </c>
      <c r="N243">
        <f t="shared" si="18"/>
        <v>4493</v>
      </c>
      <c r="O243" t="str">
        <f t="shared" si="19"/>
        <v>Medium</v>
      </c>
      <c r="P243" s="4">
        <f t="shared" si="20"/>
        <v>3.1159581571333184E-2</v>
      </c>
      <c r="Q243" t="str">
        <f t="shared" si="21"/>
        <v>Medium</v>
      </c>
      <c r="R243" s="19">
        <f t="shared" si="22"/>
        <v>0</v>
      </c>
      <c r="S243" t="str">
        <f t="shared" si="23"/>
        <v>1</v>
      </c>
    </row>
    <row r="244" spans="1:19" x14ac:dyDescent="0.25">
      <c r="A244" t="s">
        <v>263</v>
      </c>
      <c r="B244" t="s">
        <v>11</v>
      </c>
      <c r="C244" t="s">
        <v>12</v>
      </c>
      <c r="D244">
        <v>0</v>
      </c>
      <c r="E244" t="s">
        <v>13</v>
      </c>
      <c r="F244" t="s">
        <v>12</v>
      </c>
      <c r="G244" s="3">
        <v>2965</v>
      </c>
      <c r="H244" s="3">
        <v>5701</v>
      </c>
      <c r="I244" s="3">
        <v>155</v>
      </c>
      <c r="J244">
        <v>60</v>
      </c>
      <c r="K244">
        <v>1</v>
      </c>
      <c r="L244" t="s">
        <v>14</v>
      </c>
      <c r="M244" t="s">
        <v>15</v>
      </c>
      <c r="N244">
        <f t="shared" si="18"/>
        <v>8666</v>
      </c>
      <c r="O244" t="str">
        <f t="shared" si="19"/>
        <v>High</v>
      </c>
      <c r="P244" s="4">
        <f t="shared" si="20"/>
        <v>1.7885991230094624E-2</v>
      </c>
      <c r="Q244" t="str">
        <f t="shared" si="21"/>
        <v>Medium</v>
      </c>
      <c r="R244" s="19">
        <f t="shared" si="22"/>
        <v>1</v>
      </c>
      <c r="S244" t="str">
        <f t="shared" si="23"/>
        <v>1</v>
      </c>
    </row>
    <row r="245" spans="1:19" x14ac:dyDescent="0.25">
      <c r="A245" t="s">
        <v>264</v>
      </c>
      <c r="B245" t="s">
        <v>11</v>
      </c>
      <c r="C245" t="s">
        <v>17</v>
      </c>
      <c r="D245">
        <v>2</v>
      </c>
      <c r="E245" t="s">
        <v>13</v>
      </c>
      <c r="F245" t="s">
        <v>17</v>
      </c>
      <c r="G245" s="3">
        <v>6250</v>
      </c>
      <c r="H245" s="3">
        <v>1300</v>
      </c>
      <c r="I245" s="3">
        <v>108</v>
      </c>
      <c r="J245">
        <v>360</v>
      </c>
      <c r="K245">
        <v>1</v>
      </c>
      <c r="L245" t="s">
        <v>18</v>
      </c>
      <c r="M245" t="s">
        <v>15</v>
      </c>
      <c r="N245">
        <f t="shared" si="18"/>
        <v>7550</v>
      </c>
      <c r="O245" t="str">
        <f t="shared" si="19"/>
        <v>Medium</v>
      </c>
      <c r="P245" s="4">
        <f t="shared" si="20"/>
        <v>1.4304635761589404E-2</v>
      </c>
      <c r="Q245" t="str">
        <f t="shared" si="21"/>
        <v>Medium</v>
      </c>
      <c r="R245" s="19">
        <f t="shared" si="22"/>
        <v>1</v>
      </c>
      <c r="S245" t="str">
        <f t="shared" si="23"/>
        <v>2</v>
      </c>
    </row>
    <row r="246" spans="1:19" x14ac:dyDescent="0.25">
      <c r="A246" t="s">
        <v>265</v>
      </c>
      <c r="B246" t="s">
        <v>11</v>
      </c>
      <c r="C246" t="s">
        <v>17</v>
      </c>
      <c r="D246">
        <v>0</v>
      </c>
      <c r="E246" t="s">
        <v>22</v>
      </c>
      <c r="F246" t="s">
        <v>12</v>
      </c>
      <c r="G246" s="3">
        <v>3406</v>
      </c>
      <c r="H246" s="3">
        <v>4417</v>
      </c>
      <c r="I246" s="3">
        <v>123</v>
      </c>
      <c r="J246">
        <v>360</v>
      </c>
      <c r="K246">
        <v>1</v>
      </c>
      <c r="L246" t="s">
        <v>27</v>
      </c>
      <c r="M246" t="s">
        <v>15</v>
      </c>
      <c r="N246">
        <f t="shared" si="18"/>
        <v>7823</v>
      </c>
      <c r="O246" t="str">
        <f t="shared" si="19"/>
        <v>Medium</v>
      </c>
      <c r="P246" s="4">
        <f t="shared" si="20"/>
        <v>1.5722868464783331E-2</v>
      </c>
      <c r="Q246" t="str">
        <f t="shared" si="21"/>
        <v>Medium</v>
      </c>
      <c r="R246" s="19">
        <f t="shared" si="22"/>
        <v>1</v>
      </c>
      <c r="S246" t="str">
        <f t="shared" si="23"/>
        <v>3</v>
      </c>
    </row>
    <row r="247" spans="1:19" x14ac:dyDescent="0.25">
      <c r="A247" t="s">
        <v>266</v>
      </c>
      <c r="B247" t="s">
        <v>11</v>
      </c>
      <c r="C247" t="s">
        <v>12</v>
      </c>
      <c r="D247">
        <v>0</v>
      </c>
      <c r="E247" t="s">
        <v>13</v>
      </c>
      <c r="F247" t="s">
        <v>17</v>
      </c>
      <c r="G247" s="3">
        <v>6050</v>
      </c>
      <c r="H247" s="3">
        <v>4333</v>
      </c>
      <c r="I247" s="3">
        <v>120</v>
      </c>
      <c r="J247">
        <v>180</v>
      </c>
      <c r="K247">
        <v>1</v>
      </c>
      <c r="L247" t="s">
        <v>14</v>
      </c>
      <c r="M247" t="s">
        <v>19</v>
      </c>
      <c r="N247">
        <f t="shared" si="18"/>
        <v>10383</v>
      </c>
      <c r="O247" t="str">
        <f t="shared" si="19"/>
        <v>High</v>
      </c>
      <c r="P247" s="4">
        <f t="shared" si="20"/>
        <v>1.1557353366079168E-2</v>
      </c>
      <c r="Q247" t="str">
        <f t="shared" si="21"/>
        <v>Medium</v>
      </c>
      <c r="R247" s="19">
        <f t="shared" si="22"/>
        <v>0</v>
      </c>
      <c r="S247" t="str">
        <f t="shared" si="23"/>
        <v>1</v>
      </c>
    </row>
    <row r="248" spans="1:19" x14ac:dyDescent="0.25">
      <c r="A248" t="s">
        <v>267</v>
      </c>
      <c r="B248" t="s">
        <v>11</v>
      </c>
      <c r="C248" t="s">
        <v>17</v>
      </c>
      <c r="D248">
        <v>2</v>
      </c>
      <c r="E248" t="s">
        <v>13</v>
      </c>
      <c r="F248" t="s">
        <v>12</v>
      </c>
      <c r="G248" s="3">
        <v>9703</v>
      </c>
      <c r="H248" s="3">
        <v>0</v>
      </c>
      <c r="I248" s="3">
        <v>112</v>
      </c>
      <c r="J248">
        <v>360</v>
      </c>
      <c r="K248">
        <v>1</v>
      </c>
      <c r="L248" t="s">
        <v>14</v>
      </c>
      <c r="M248" t="s">
        <v>15</v>
      </c>
      <c r="N248">
        <f t="shared" si="18"/>
        <v>9703</v>
      </c>
      <c r="O248" t="str">
        <f t="shared" si="19"/>
        <v>High</v>
      </c>
      <c r="P248" s="4">
        <f t="shared" si="20"/>
        <v>1.1542821807688343E-2</v>
      </c>
      <c r="Q248" t="str">
        <f t="shared" si="21"/>
        <v>Medium</v>
      </c>
      <c r="R248" s="19">
        <f t="shared" si="22"/>
        <v>1</v>
      </c>
      <c r="S248" t="str">
        <f t="shared" si="23"/>
        <v>1</v>
      </c>
    </row>
    <row r="249" spans="1:19" x14ac:dyDescent="0.25">
      <c r="A249" t="s">
        <v>268</v>
      </c>
      <c r="B249" t="s">
        <v>11</v>
      </c>
      <c r="C249" t="s">
        <v>17</v>
      </c>
      <c r="D249">
        <v>1</v>
      </c>
      <c r="E249" t="s">
        <v>22</v>
      </c>
      <c r="F249" t="s">
        <v>12</v>
      </c>
      <c r="G249" s="3">
        <v>6608</v>
      </c>
      <c r="H249" s="3">
        <v>0</v>
      </c>
      <c r="I249" s="3">
        <v>137</v>
      </c>
      <c r="J249">
        <v>180</v>
      </c>
      <c r="K249">
        <v>1</v>
      </c>
      <c r="L249" t="s">
        <v>14</v>
      </c>
      <c r="M249" t="s">
        <v>15</v>
      </c>
      <c r="N249">
        <f t="shared" si="18"/>
        <v>6608</v>
      </c>
      <c r="O249" t="str">
        <f t="shared" si="19"/>
        <v>Medium</v>
      </c>
      <c r="P249" s="4">
        <f t="shared" si="20"/>
        <v>2.0732445520581115E-2</v>
      </c>
      <c r="Q249" t="str">
        <f t="shared" si="21"/>
        <v>Medium</v>
      </c>
      <c r="R249" s="19">
        <f t="shared" si="22"/>
        <v>1</v>
      </c>
      <c r="S249" t="str">
        <f t="shared" si="23"/>
        <v>1</v>
      </c>
    </row>
    <row r="250" spans="1:19" x14ac:dyDescent="0.25">
      <c r="A250" t="s">
        <v>269</v>
      </c>
      <c r="B250" t="s">
        <v>11</v>
      </c>
      <c r="C250" t="s">
        <v>17</v>
      </c>
      <c r="D250">
        <v>1</v>
      </c>
      <c r="E250" t="s">
        <v>13</v>
      </c>
      <c r="F250" t="s">
        <v>12</v>
      </c>
      <c r="G250" s="3">
        <v>2882</v>
      </c>
      <c r="H250" s="3">
        <v>1843</v>
      </c>
      <c r="I250" s="3">
        <v>123</v>
      </c>
      <c r="J250">
        <v>480</v>
      </c>
      <c r="K250">
        <v>1</v>
      </c>
      <c r="L250" t="s">
        <v>27</v>
      </c>
      <c r="M250" t="s">
        <v>15</v>
      </c>
      <c r="N250">
        <f t="shared" si="18"/>
        <v>4725</v>
      </c>
      <c r="O250" t="str">
        <f t="shared" si="19"/>
        <v>Medium</v>
      </c>
      <c r="P250" s="4">
        <f t="shared" si="20"/>
        <v>2.6031746031746031E-2</v>
      </c>
      <c r="Q250" t="str">
        <f t="shared" si="21"/>
        <v>Medium</v>
      </c>
      <c r="R250" s="19">
        <f t="shared" si="22"/>
        <v>1</v>
      </c>
      <c r="S250" t="str">
        <f t="shared" si="23"/>
        <v>3</v>
      </c>
    </row>
    <row r="251" spans="1:19" x14ac:dyDescent="0.25">
      <c r="A251" t="s">
        <v>270</v>
      </c>
      <c r="B251" t="s">
        <v>11</v>
      </c>
      <c r="C251" t="s">
        <v>17</v>
      </c>
      <c r="D251">
        <v>0</v>
      </c>
      <c r="E251" t="s">
        <v>13</v>
      </c>
      <c r="F251" t="s">
        <v>12</v>
      </c>
      <c r="G251" s="3">
        <v>1809</v>
      </c>
      <c r="H251" s="3">
        <v>1868</v>
      </c>
      <c r="I251" s="3">
        <v>90</v>
      </c>
      <c r="J251">
        <v>360</v>
      </c>
      <c r="K251">
        <v>1</v>
      </c>
      <c r="L251" t="s">
        <v>14</v>
      </c>
      <c r="M251" t="s">
        <v>15</v>
      </c>
      <c r="N251">
        <f t="shared" si="18"/>
        <v>3677</v>
      </c>
      <c r="O251" t="str">
        <f t="shared" si="19"/>
        <v>Low</v>
      </c>
      <c r="P251" s="4">
        <f t="shared" si="20"/>
        <v>2.4476475387544192E-2</v>
      </c>
      <c r="Q251" t="str">
        <f t="shared" si="21"/>
        <v>Small</v>
      </c>
      <c r="R251" s="19">
        <f t="shared" si="22"/>
        <v>1</v>
      </c>
      <c r="S251" t="str">
        <f t="shared" si="23"/>
        <v>1</v>
      </c>
    </row>
    <row r="252" spans="1:19" x14ac:dyDescent="0.25">
      <c r="A252" t="s">
        <v>271</v>
      </c>
      <c r="B252" t="s">
        <v>11</v>
      </c>
      <c r="C252" t="s">
        <v>17</v>
      </c>
      <c r="D252">
        <v>0</v>
      </c>
      <c r="E252" t="s">
        <v>22</v>
      </c>
      <c r="F252" t="s">
        <v>12</v>
      </c>
      <c r="G252" s="3">
        <v>1668</v>
      </c>
      <c r="H252" s="3">
        <v>3890</v>
      </c>
      <c r="I252" s="3">
        <v>201</v>
      </c>
      <c r="J252">
        <v>360</v>
      </c>
      <c r="K252">
        <v>0</v>
      </c>
      <c r="L252" t="s">
        <v>27</v>
      </c>
      <c r="M252" t="s">
        <v>19</v>
      </c>
      <c r="N252">
        <f t="shared" si="18"/>
        <v>5558</v>
      </c>
      <c r="O252" t="str">
        <f t="shared" si="19"/>
        <v>Medium</v>
      </c>
      <c r="P252" s="4">
        <f t="shared" si="20"/>
        <v>3.6164087801367401E-2</v>
      </c>
      <c r="Q252" t="str">
        <f t="shared" si="21"/>
        <v>Large</v>
      </c>
      <c r="R252" s="19">
        <f t="shared" si="22"/>
        <v>0</v>
      </c>
      <c r="S252" t="str">
        <f t="shared" si="23"/>
        <v>3</v>
      </c>
    </row>
    <row r="253" spans="1:19" x14ac:dyDescent="0.25">
      <c r="A253" t="s">
        <v>272</v>
      </c>
      <c r="B253" t="s">
        <v>38</v>
      </c>
      <c r="C253" t="s">
        <v>12</v>
      </c>
      <c r="D253">
        <v>2</v>
      </c>
      <c r="E253" t="s">
        <v>13</v>
      </c>
      <c r="F253" t="s">
        <v>12</v>
      </c>
      <c r="G253" s="3">
        <v>3427</v>
      </c>
      <c r="H253" s="3">
        <v>0</v>
      </c>
      <c r="I253" s="3">
        <v>138</v>
      </c>
      <c r="J253">
        <v>360</v>
      </c>
      <c r="K253">
        <v>1</v>
      </c>
      <c r="L253" t="s">
        <v>14</v>
      </c>
      <c r="M253" t="s">
        <v>19</v>
      </c>
      <c r="N253">
        <f t="shared" si="18"/>
        <v>3427</v>
      </c>
      <c r="O253" t="str">
        <f t="shared" si="19"/>
        <v>Low</v>
      </c>
      <c r="P253" s="4">
        <f t="shared" si="20"/>
        <v>4.0268456375838924E-2</v>
      </c>
      <c r="Q253" t="str">
        <f t="shared" si="21"/>
        <v>Medium</v>
      </c>
      <c r="R253" s="19">
        <f t="shared" si="22"/>
        <v>0</v>
      </c>
      <c r="S253" t="str">
        <f t="shared" si="23"/>
        <v>1</v>
      </c>
    </row>
    <row r="254" spans="1:19" x14ac:dyDescent="0.25">
      <c r="A254" t="s">
        <v>273</v>
      </c>
      <c r="B254" t="s">
        <v>11</v>
      </c>
      <c r="C254" t="s">
        <v>12</v>
      </c>
      <c r="D254">
        <v>0</v>
      </c>
      <c r="E254" t="s">
        <v>22</v>
      </c>
      <c r="F254" t="s">
        <v>17</v>
      </c>
      <c r="G254" s="3">
        <v>2583</v>
      </c>
      <c r="H254" s="3">
        <v>2167</v>
      </c>
      <c r="I254" s="3">
        <v>104</v>
      </c>
      <c r="J254">
        <v>360</v>
      </c>
      <c r="K254">
        <v>1</v>
      </c>
      <c r="L254" t="s">
        <v>18</v>
      </c>
      <c r="M254" t="s">
        <v>15</v>
      </c>
      <c r="N254">
        <f t="shared" si="18"/>
        <v>4750</v>
      </c>
      <c r="O254" t="str">
        <f t="shared" si="19"/>
        <v>Medium</v>
      </c>
      <c r="P254" s="4">
        <f t="shared" si="20"/>
        <v>2.1894736842105262E-2</v>
      </c>
      <c r="Q254" t="str">
        <f t="shared" si="21"/>
        <v>Medium</v>
      </c>
      <c r="R254" s="19">
        <f t="shared" si="22"/>
        <v>1</v>
      </c>
      <c r="S254" t="str">
        <f t="shared" si="23"/>
        <v>2</v>
      </c>
    </row>
    <row r="255" spans="1:19" x14ac:dyDescent="0.25">
      <c r="A255" t="s">
        <v>274</v>
      </c>
      <c r="B255" t="s">
        <v>11</v>
      </c>
      <c r="C255" t="s">
        <v>17</v>
      </c>
      <c r="D255">
        <v>1</v>
      </c>
      <c r="E255" t="s">
        <v>22</v>
      </c>
      <c r="F255" t="s">
        <v>12</v>
      </c>
      <c r="G255" s="3">
        <v>2661</v>
      </c>
      <c r="H255" s="3">
        <v>7101</v>
      </c>
      <c r="I255" s="3">
        <v>279</v>
      </c>
      <c r="J255">
        <v>180</v>
      </c>
      <c r="K255">
        <v>1</v>
      </c>
      <c r="L255" t="s">
        <v>27</v>
      </c>
      <c r="M255" t="s">
        <v>15</v>
      </c>
      <c r="N255">
        <f t="shared" si="18"/>
        <v>9762</v>
      </c>
      <c r="O255" t="str">
        <f t="shared" si="19"/>
        <v>High</v>
      </c>
      <c r="P255" s="4">
        <f t="shared" si="20"/>
        <v>2.858020897357099E-2</v>
      </c>
      <c r="Q255" t="str">
        <f t="shared" si="21"/>
        <v>Large</v>
      </c>
      <c r="R255" s="19">
        <f t="shared" si="22"/>
        <v>1</v>
      </c>
      <c r="S255" t="str">
        <f t="shared" si="23"/>
        <v>3</v>
      </c>
    </row>
    <row r="256" spans="1:19" x14ac:dyDescent="0.25">
      <c r="A256" t="s">
        <v>275</v>
      </c>
      <c r="B256" t="s">
        <v>11</v>
      </c>
      <c r="C256" t="s">
        <v>12</v>
      </c>
      <c r="D256">
        <v>0</v>
      </c>
      <c r="E256" t="s">
        <v>13</v>
      </c>
      <c r="F256" t="s">
        <v>17</v>
      </c>
      <c r="G256" s="3">
        <v>16250</v>
      </c>
      <c r="H256" s="3">
        <v>0</v>
      </c>
      <c r="I256" s="3">
        <v>192</v>
      </c>
      <c r="J256">
        <v>360</v>
      </c>
      <c r="K256">
        <v>0</v>
      </c>
      <c r="L256" t="s">
        <v>14</v>
      </c>
      <c r="M256" t="s">
        <v>19</v>
      </c>
      <c r="N256">
        <f t="shared" si="18"/>
        <v>16250</v>
      </c>
      <c r="O256" t="str">
        <f t="shared" si="19"/>
        <v>High</v>
      </c>
      <c r="P256" s="4">
        <f t="shared" si="20"/>
        <v>1.1815384615384615E-2</v>
      </c>
      <c r="Q256" t="str">
        <f t="shared" si="21"/>
        <v>Medium</v>
      </c>
      <c r="R256" s="19">
        <f t="shared" si="22"/>
        <v>0</v>
      </c>
      <c r="S256" t="str">
        <f t="shared" si="23"/>
        <v>1</v>
      </c>
    </row>
    <row r="257" spans="1:19" x14ac:dyDescent="0.25">
      <c r="A257" t="s">
        <v>276</v>
      </c>
      <c r="B257" t="s">
        <v>38</v>
      </c>
      <c r="C257" t="s">
        <v>12</v>
      </c>
      <c r="D257">
        <v>3</v>
      </c>
      <c r="E257" t="s">
        <v>13</v>
      </c>
      <c r="F257" t="s">
        <v>12</v>
      </c>
      <c r="G257" s="3">
        <v>3083</v>
      </c>
      <c r="H257" s="3">
        <v>0</v>
      </c>
      <c r="I257" s="3">
        <v>255</v>
      </c>
      <c r="J257">
        <v>360</v>
      </c>
      <c r="K257">
        <v>1</v>
      </c>
      <c r="L257" t="s">
        <v>18</v>
      </c>
      <c r="M257" t="s">
        <v>15</v>
      </c>
      <c r="N257">
        <f t="shared" si="18"/>
        <v>3083</v>
      </c>
      <c r="O257" t="str">
        <f t="shared" si="19"/>
        <v>Low</v>
      </c>
      <c r="P257" s="4">
        <f t="shared" si="20"/>
        <v>8.2711644502108342E-2</v>
      </c>
      <c r="Q257" t="str">
        <f t="shared" si="21"/>
        <v>Large</v>
      </c>
      <c r="R257" s="19">
        <f t="shared" si="22"/>
        <v>1</v>
      </c>
      <c r="S257" t="str">
        <f t="shared" si="23"/>
        <v>2</v>
      </c>
    </row>
    <row r="258" spans="1:19" x14ac:dyDescent="0.25">
      <c r="A258" t="s">
        <v>277</v>
      </c>
      <c r="B258" t="s">
        <v>11</v>
      </c>
      <c r="C258" t="s">
        <v>12</v>
      </c>
      <c r="D258">
        <v>0</v>
      </c>
      <c r="E258" t="s">
        <v>22</v>
      </c>
      <c r="F258" t="s">
        <v>12</v>
      </c>
      <c r="G258" s="3">
        <v>6045</v>
      </c>
      <c r="H258" s="3">
        <v>0</v>
      </c>
      <c r="I258" s="3">
        <v>115</v>
      </c>
      <c r="J258">
        <v>360</v>
      </c>
      <c r="K258">
        <v>0</v>
      </c>
      <c r="L258" t="s">
        <v>18</v>
      </c>
      <c r="M258" t="s">
        <v>19</v>
      </c>
      <c r="N258">
        <f t="shared" si="18"/>
        <v>6045</v>
      </c>
      <c r="O258" t="str">
        <f t="shared" si="19"/>
        <v>Medium</v>
      </c>
      <c r="P258" s="4">
        <f t="shared" si="20"/>
        <v>1.9023986765922249E-2</v>
      </c>
      <c r="Q258" t="str">
        <f t="shared" si="21"/>
        <v>Medium</v>
      </c>
      <c r="R258" s="19">
        <f t="shared" si="22"/>
        <v>0</v>
      </c>
      <c r="S258" t="str">
        <f t="shared" si="23"/>
        <v>2</v>
      </c>
    </row>
    <row r="259" spans="1:19" x14ac:dyDescent="0.25">
      <c r="A259" t="s">
        <v>278</v>
      </c>
      <c r="B259" t="s">
        <v>11</v>
      </c>
      <c r="C259" t="s">
        <v>17</v>
      </c>
      <c r="D259">
        <v>3</v>
      </c>
      <c r="E259" t="s">
        <v>13</v>
      </c>
      <c r="F259" t="s">
        <v>12</v>
      </c>
      <c r="G259" s="3">
        <v>5250</v>
      </c>
      <c r="H259" s="3">
        <v>0</v>
      </c>
      <c r="I259" s="3">
        <v>94</v>
      </c>
      <c r="J259">
        <v>360</v>
      </c>
      <c r="K259">
        <v>1</v>
      </c>
      <c r="L259" t="s">
        <v>14</v>
      </c>
      <c r="M259" t="s">
        <v>19</v>
      </c>
      <c r="N259">
        <f t="shared" ref="N259:N322" si="24">G259+H259</f>
        <v>5250</v>
      </c>
      <c r="O259" t="str">
        <f t="shared" ref="O259:O322" si="25">IF(N259&lt;4000,"Low", IF(N259&lt;8000, "Medium", "High"))</f>
        <v>Medium</v>
      </c>
      <c r="P259" s="4">
        <f t="shared" ref="P259:P322" si="26">I259/N259</f>
        <v>1.7904761904761906E-2</v>
      </c>
      <c r="Q259" t="str">
        <f t="shared" ref="Q259:Q322" si="27">IF(I259&lt;100, "Small", IF(I259&lt;200, "Medium", "Large"))</f>
        <v>Small</v>
      </c>
      <c r="R259" s="19">
        <f t="shared" ref="R259:R322" si="28">IF(M259="Y", 1*1, 1*0)</f>
        <v>0</v>
      </c>
      <c r="S259" t="str">
        <f t="shared" ref="S259:S322" si="29">IF(L259="Urban","1", IF(L259="Rural", "2", IF(L259="Semiurban","3")))</f>
        <v>1</v>
      </c>
    </row>
    <row r="260" spans="1:19" x14ac:dyDescent="0.25">
      <c r="A260" t="s">
        <v>279</v>
      </c>
      <c r="B260" t="s">
        <v>11</v>
      </c>
      <c r="C260" t="s">
        <v>17</v>
      </c>
      <c r="D260">
        <v>0</v>
      </c>
      <c r="E260" t="s">
        <v>13</v>
      </c>
      <c r="F260" t="s">
        <v>12</v>
      </c>
      <c r="G260" s="3">
        <v>14683</v>
      </c>
      <c r="H260" s="3">
        <v>2100</v>
      </c>
      <c r="I260" s="3">
        <v>304</v>
      </c>
      <c r="J260">
        <v>360</v>
      </c>
      <c r="K260">
        <v>1</v>
      </c>
      <c r="L260" t="s">
        <v>18</v>
      </c>
      <c r="M260" t="s">
        <v>19</v>
      </c>
      <c r="N260">
        <f t="shared" si="24"/>
        <v>16783</v>
      </c>
      <c r="O260" t="str">
        <f t="shared" si="25"/>
        <v>High</v>
      </c>
      <c r="P260" s="4">
        <f t="shared" si="26"/>
        <v>1.8113567300244295E-2</v>
      </c>
      <c r="Q260" t="str">
        <f t="shared" si="27"/>
        <v>Large</v>
      </c>
      <c r="R260" s="19">
        <f t="shared" si="28"/>
        <v>0</v>
      </c>
      <c r="S260" t="str">
        <f t="shared" si="29"/>
        <v>2</v>
      </c>
    </row>
    <row r="261" spans="1:19" x14ac:dyDescent="0.25">
      <c r="A261" t="s">
        <v>280</v>
      </c>
      <c r="B261" t="s">
        <v>11</v>
      </c>
      <c r="C261" t="s">
        <v>17</v>
      </c>
      <c r="D261">
        <v>3</v>
      </c>
      <c r="E261" t="s">
        <v>22</v>
      </c>
      <c r="F261" t="s">
        <v>12</v>
      </c>
      <c r="G261" s="3">
        <v>4931</v>
      </c>
      <c r="H261" s="3">
        <v>0</v>
      </c>
      <c r="I261" s="3">
        <v>128</v>
      </c>
      <c r="J261">
        <v>360</v>
      </c>
      <c r="K261">
        <v>1</v>
      </c>
      <c r="L261" t="s">
        <v>27</v>
      </c>
      <c r="M261" t="s">
        <v>19</v>
      </c>
      <c r="N261">
        <f t="shared" si="24"/>
        <v>4931</v>
      </c>
      <c r="O261" t="str">
        <f t="shared" si="25"/>
        <v>Medium</v>
      </c>
      <c r="P261" s="4">
        <f t="shared" si="26"/>
        <v>2.595822348408031E-2</v>
      </c>
      <c r="Q261" t="str">
        <f t="shared" si="27"/>
        <v>Medium</v>
      </c>
      <c r="R261" s="19">
        <f t="shared" si="28"/>
        <v>0</v>
      </c>
      <c r="S261" t="str">
        <f t="shared" si="29"/>
        <v>3</v>
      </c>
    </row>
    <row r="262" spans="1:19" x14ac:dyDescent="0.25">
      <c r="A262" t="s">
        <v>281</v>
      </c>
      <c r="B262" t="s">
        <v>11</v>
      </c>
      <c r="C262" t="s">
        <v>17</v>
      </c>
      <c r="D262">
        <v>1</v>
      </c>
      <c r="E262" t="s">
        <v>13</v>
      </c>
      <c r="F262" t="s">
        <v>12</v>
      </c>
      <c r="G262" s="3">
        <v>6083</v>
      </c>
      <c r="H262" s="3">
        <v>4250</v>
      </c>
      <c r="I262" s="3">
        <v>330</v>
      </c>
      <c r="J262">
        <v>360</v>
      </c>
      <c r="K262">
        <v>1</v>
      </c>
      <c r="L262" t="s">
        <v>14</v>
      </c>
      <c r="M262" t="s">
        <v>15</v>
      </c>
      <c r="N262">
        <f t="shared" si="24"/>
        <v>10333</v>
      </c>
      <c r="O262" t="str">
        <f t="shared" si="25"/>
        <v>High</v>
      </c>
      <c r="P262" s="4">
        <f t="shared" si="26"/>
        <v>3.193651408109939E-2</v>
      </c>
      <c r="Q262" t="str">
        <f t="shared" si="27"/>
        <v>Large</v>
      </c>
      <c r="R262" s="19">
        <f t="shared" si="28"/>
        <v>1</v>
      </c>
      <c r="S262" t="str">
        <f t="shared" si="29"/>
        <v>1</v>
      </c>
    </row>
    <row r="263" spans="1:19" x14ac:dyDescent="0.25">
      <c r="A263" t="s">
        <v>282</v>
      </c>
      <c r="B263" t="s">
        <v>11</v>
      </c>
      <c r="C263" t="s">
        <v>12</v>
      </c>
      <c r="D263">
        <v>0</v>
      </c>
      <c r="E263" t="s">
        <v>13</v>
      </c>
      <c r="F263" t="s">
        <v>12</v>
      </c>
      <c r="G263" s="3">
        <v>2060</v>
      </c>
      <c r="H263" s="3">
        <v>2209</v>
      </c>
      <c r="I263" s="3">
        <v>134</v>
      </c>
      <c r="J263">
        <v>360</v>
      </c>
      <c r="K263">
        <v>1</v>
      </c>
      <c r="L263" t="s">
        <v>27</v>
      </c>
      <c r="M263" t="s">
        <v>15</v>
      </c>
      <c r="N263">
        <f t="shared" si="24"/>
        <v>4269</v>
      </c>
      <c r="O263" t="str">
        <f t="shared" si="25"/>
        <v>Medium</v>
      </c>
      <c r="P263" s="4">
        <f t="shared" si="26"/>
        <v>3.1389084094635748E-2</v>
      </c>
      <c r="Q263" t="str">
        <f t="shared" si="27"/>
        <v>Medium</v>
      </c>
      <c r="R263" s="19">
        <f t="shared" si="28"/>
        <v>1</v>
      </c>
      <c r="S263" t="str">
        <f t="shared" si="29"/>
        <v>3</v>
      </c>
    </row>
    <row r="264" spans="1:19" x14ac:dyDescent="0.25">
      <c r="A264" t="s">
        <v>283</v>
      </c>
      <c r="B264" t="s">
        <v>38</v>
      </c>
      <c r="C264" t="s">
        <v>12</v>
      </c>
      <c r="D264">
        <v>1</v>
      </c>
      <c r="E264" t="s">
        <v>13</v>
      </c>
      <c r="F264" t="s">
        <v>12</v>
      </c>
      <c r="G264" s="3">
        <v>3481</v>
      </c>
      <c r="H264" s="3">
        <v>0</v>
      </c>
      <c r="I264" s="3">
        <v>155</v>
      </c>
      <c r="J264">
        <v>36</v>
      </c>
      <c r="K264">
        <v>1</v>
      </c>
      <c r="L264" t="s">
        <v>27</v>
      </c>
      <c r="M264" t="s">
        <v>19</v>
      </c>
      <c r="N264">
        <f t="shared" si="24"/>
        <v>3481</v>
      </c>
      <c r="O264" t="str">
        <f t="shared" si="25"/>
        <v>Low</v>
      </c>
      <c r="P264" s="4">
        <f t="shared" si="26"/>
        <v>4.4527434645216891E-2</v>
      </c>
      <c r="Q264" t="str">
        <f t="shared" si="27"/>
        <v>Medium</v>
      </c>
      <c r="R264" s="19">
        <f t="shared" si="28"/>
        <v>0</v>
      </c>
      <c r="S264" t="str">
        <f t="shared" si="29"/>
        <v>3</v>
      </c>
    </row>
    <row r="265" spans="1:19" x14ac:dyDescent="0.25">
      <c r="A265" t="s">
        <v>284</v>
      </c>
      <c r="B265" t="s">
        <v>38</v>
      </c>
      <c r="C265" t="s">
        <v>12</v>
      </c>
      <c r="D265">
        <v>0</v>
      </c>
      <c r="E265" t="s">
        <v>13</v>
      </c>
      <c r="F265" t="s">
        <v>12</v>
      </c>
      <c r="G265" s="3">
        <v>7200</v>
      </c>
      <c r="H265" s="3">
        <v>0</v>
      </c>
      <c r="I265" s="3">
        <v>120</v>
      </c>
      <c r="J265">
        <v>360</v>
      </c>
      <c r="K265">
        <v>1</v>
      </c>
      <c r="L265" t="s">
        <v>18</v>
      </c>
      <c r="M265" t="s">
        <v>15</v>
      </c>
      <c r="N265">
        <f t="shared" si="24"/>
        <v>7200</v>
      </c>
      <c r="O265" t="str">
        <f t="shared" si="25"/>
        <v>Medium</v>
      </c>
      <c r="P265" s="4">
        <f t="shared" si="26"/>
        <v>1.6666666666666666E-2</v>
      </c>
      <c r="Q265" t="str">
        <f t="shared" si="27"/>
        <v>Medium</v>
      </c>
      <c r="R265" s="19">
        <f t="shared" si="28"/>
        <v>1</v>
      </c>
      <c r="S265" t="str">
        <f t="shared" si="29"/>
        <v>2</v>
      </c>
    </row>
    <row r="266" spans="1:19" x14ac:dyDescent="0.25">
      <c r="A266" t="s">
        <v>285</v>
      </c>
      <c r="B266" t="s">
        <v>11</v>
      </c>
      <c r="C266" t="s">
        <v>12</v>
      </c>
      <c r="D266">
        <v>0</v>
      </c>
      <c r="E266" t="s">
        <v>13</v>
      </c>
      <c r="F266" t="s">
        <v>17</v>
      </c>
      <c r="G266" s="3">
        <v>5166</v>
      </c>
      <c r="H266" s="3">
        <v>0</v>
      </c>
      <c r="I266" s="3">
        <v>128</v>
      </c>
      <c r="J266">
        <v>360</v>
      </c>
      <c r="K266">
        <v>1</v>
      </c>
      <c r="L266" t="s">
        <v>27</v>
      </c>
      <c r="M266" t="s">
        <v>15</v>
      </c>
      <c r="N266">
        <f t="shared" si="24"/>
        <v>5166</v>
      </c>
      <c r="O266" t="str">
        <f t="shared" si="25"/>
        <v>Medium</v>
      </c>
      <c r="P266" s="4">
        <f t="shared" si="26"/>
        <v>2.4777390631049168E-2</v>
      </c>
      <c r="Q266" t="str">
        <f t="shared" si="27"/>
        <v>Medium</v>
      </c>
      <c r="R266" s="19">
        <f t="shared" si="28"/>
        <v>1</v>
      </c>
      <c r="S266" t="str">
        <f t="shared" si="29"/>
        <v>3</v>
      </c>
    </row>
    <row r="267" spans="1:19" x14ac:dyDescent="0.25">
      <c r="A267" t="s">
        <v>286</v>
      </c>
      <c r="B267" t="s">
        <v>11</v>
      </c>
      <c r="C267" t="s">
        <v>12</v>
      </c>
      <c r="D267">
        <v>0</v>
      </c>
      <c r="E267" t="s">
        <v>13</v>
      </c>
      <c r="F267" t="s">
        <v>12</v>
      </c>
      <c r="G267" s="3">
        <v>4095</v>
      </c>
      <c r="H267" s="3">
        <v>3447</v>
      </c>
      <c r="I267" s="3">
        <v>151</v>
      </c>
      <c r="J267">
        <v>360</v>
      </c>
      <c r="K267">
        <v>1</v>
      </c>
      <c r="L267" t="s">
        <v>18</v>
      </c>
      <c r="M267" t="s">
        <v>15</v>
      </c>
      <c r="N267">
        <f t="shared" si="24"/>
        <v>7542</v>
      </c>
      <c r="O267" t="str">
        <f t="shared" si="25"/>
        <v>Medium</v>
      </c>
      <c r="P267" s="4">
        <f t="shared" si="26"/>
        <v>2.0021214531954389E-2</v>
      </c>
      <c r="Q267" t="str">
        <f t="shared" si="27"/>
        <v>Medium</v>
      </c>
      <c r="R267" s="19">
        <f t="shared" si="28"/>
        <v>1</v>
      </c>
      <c r="S267" t="str">
        <f t="shared" si="29"/>
        <v>2</v>
      </c>
    </row>
    <row r="268" spans="1:19" x14ac:dyDescent="0.25">
      <c r="A268" t="s">
        <v>287</v>
      </c>
      <c r="B268" t="s">
        <v>11</v>
      </c>
      <c r="C268" t="s">
        <v>17</v>
      </c>
      <c r="D268">
        <v>2</v>
      </c>
      <c r="E268" t="s">
        <v>13</v>
      </c>
      <c r="F268" t="s">
        <v>12</v>
      </c>
      <c r="G268" s="3">
        <v>4708</v>
      </c>
      <c r="H268" s="3">
        <v>1387</v>
      </c>
      <c r="I268" s="3">
        <v>150</v>
      </c>
      <c r="J268">
        <v>360</v>
      </c>
      <c r="K268">
        <v>1</v>
      </c>
      <c r="L268" t="s">
        <v>27</v>
      </c>
      <c r="M268" t="s">
        <v>15</v>
      </c>
      <c r="N268">
        <f t="shared" si="24"/>
        <v>6095</v>
      </c>
      <c r="O268" t="str">
        <f t="shared" si="25"/>
        <v>Medium</v>
      </c>
      <c r="P268" s="4">
        <f t="shared" si="26"/>
        <v>2.461033634126333E-2</v>
      </c>
      <c r="Q268" t="str">
        <f t="shared" si="27"/>
        <v>Medium</v>
      </c>
      <c r="R268" s="19">
        <f t="shared" si="28"/>
        <v>1</v>
      </c>
      <c r="S268" t="str">
        <f t="shared" si="29"/>
        <v>3</v>
      </c>
    </row>
    <row r="269" spans="1:19" x14ac:dyDescent="0.25">
      <c r="A269" t="s">
        <v>288</v>
      </c>
      <c r="B269" t="s">
        <v>11</v>
      </c>
      <c r="C269" t="s">
        <v>17</v>
      </c>
      <c r="D269">
        <v>3</v>
      </c>
      <c r="E269" t="s">
        <v>13</v>
      </c>
      <c r="F269" t="s">
        <v>12</v>
      </c>
      <c r="G269" s="3">
        <v>4333</v>
      </c>
      <c r="H269" s="3">
        <v>1811</v>
      </c>
      <c r="I269" s="3">
        <v>160</v>
      </c>
      <c r="J269">
        <v>360</v>
      </c>
      <c r="K269">
        <v>0</v>
      </c>
      <c r="L269" t="s">
        <v>14</v>
      </c>
      <c r="M269" t="s">
        <v>15</v>
      </c>
      <c r="N269">
        <f t="shared" si="24"/>
        <v>6144</v>
      </c>
      <c r="O269" t="str">
        <f t="shared" si="25"/>
        <v>Medium</v>
      </c>
      <c r="P269" s="4">
        <f t="shared" si="26"/>
        <v>2.6041666666666668E-2</v>
      </c>
      <c r="Q269" t="str">
        <f t="shared" si="27"/>
        <v>Medium</v>
      </c>
      <c r="R269" s="19">
        <f t="shared" si="28"/>
        <v>1</v>
      </c>
      <c r="S269" t="str">
        <f t="shared" si="29"/>
        <v>1</v>
      </c>
    </row>
    <row r="270" spans="1:19" x14ac:dyDescent="0.25">
      <c r="A270" t="s">
        <v>289</v>
      </c>
      <c r="B270" t="s">
        <v>38</v>
      </c>
      <c r="C270" t="s">
        <v>12</v>
      </c>
      <c r="D270">
        <v>0</v>
      </c>
      <c r="E270" t="s">
        <v>13</v>
      </c>
      <c r="F270" t="s">
        <v>12</v>
      </c>
      <c r="G270" s="3">
        <v>3418</v>
      </c>
      <c r="H270" s="3">
        <v>0</v>
      </c>
      <c r="I270" s="3">
        <v>135</v>
      </c>
      <c r="J270">
        <v>360</v>
      </c>
      <c r="K270">
        <v>1</v>
      </c>
      <c r="L270" t="s">
        <v>18</v>
      </c>
      <c r="M270" t="s">
        <v>19</v>
      </c>
      <c r="N270">
        <f t="shared" si="24"/>
        <v>3418</v>
      </c>
      <c r="O270" t="str">
        <f t="shared" si="25"/>
        <v>Low</v>
      </c>
      <c r="P270" s="4">
        <f t="shared" si="26"/>
        <v>3.9496781743709769E-2</v>
      </c>
      <c r="Q270" t="str">
        <f t="shared" si="27"/>
        <v>Medium</v>
      </c>
      <c r="R270" s="19">
        <f t="shared" si="28"/>
        <v>0</v>
      </c>
      <c r="S270" t="str">
        <f t="shared" si="29"/>
        <v>2</v>
      </c>
    </row>
    <row r="271" spans="1:19" x14ac:dyDescent="0.25">
      <c r="A271" t="s">
        <v>290</v>
      </c>
      <c r="B271" t="s">
        <v>38</v>
      </c>
      <c r="C271" t="s">
        <v>12</v>
      </c>
      <c r="D271">
        <v>1</v>
      </c>
      <c r="E271" t="s">
        <v>13</v>
      </c>
      <c r="F271" t="s">
        <v>12</v>
      </c>
      <c r="G271" s="3">
        <v>2876</v>
      </c>
      <c r="H271" s="3">
        <v>1560</v>
      </c>
      <c r="I271" s="3">
        <v>90</v>
      </c>
      <c r="J271">
        <v>360</v>
      </c>
      <c r="K271">
        <v>1</v>
      </c>
      <c r="L271" t="s">
        <v>14</v>
      </c>
      <c r="M271" t="s">
        <v>15</v>
      </c>
      <c r="N271">
        <f t="shared" si="24"/>
        <v>4436</v>
      </c>
      <c r="O271" t="str">
        <f t="shared" si="25"/>
        <v>Medium</v>
      </c>
      <c r="P271" s="4">
        <f t="shared" si="26"/>
        <v>2.0288548241659151E-2</v>
      </c>
      <c r="Q271" t="str">
        <f t="shared" si="27"/>
        <v>Small</v>
      </c>
      <c r="R271" s="19">
        <f t="shared" si="28"/>
        <v>1</v>
      </c>
      <c r="S271" t="str">
        <f t="shared" si="29"/>
        <v>1</v>
      </c>
    </row>
    <row r="272" spans="1:19" x14ac:dyDescent="0.25">
      <c r="A272" t="s">
        <v>291</v>
      </c>
      <c r="B272" t="s">
        <v>38</v>
      </c>
      <c r="C272" t="s">
        <v>12</v>
      </c>
      <c r="D272">
        <v>0</v>
      </c>
      <c r="E272" t="s">
        <v>13</v>
      </c>
      <c r="F272" t="s">
        <v>12</v>
      </c>
      <c r="G272" s="3">
        <v>3237</v>
      </c>
      <c r="H272" s="3">
        <v>0</v>
      </c>
      <c r="I272" s="3">
        <v>30</v>
      </c>
      <c r="J272">
        <v>360</v>
      </c>
      <c r="K272">
        <v>1</v>
      </c>
      <c r="L272" t="s">
        <v>14</v>
      </c>
      <c r="M272" t="s">
        <v>15</v>
      </c>
      <c r="N272">
        <f t="shared" si="24"/>
        <v>3237</v>
      </c>
      <c r="O272" t="str">
        <f t="shared" si="25"/>
        <v>Low</v>
      </c>
      <c r="P272" s="4">
        <f t="shared" si="26"/>
        <v>9.2678405931417972E-3</v>
      </c>
      <c r="Q272" t="str">
        <f t="shared" si="27"/>
        <v>Small</v>
      </c>
      <c r="R272" s="19">
        <f t="shared" si="28"/>
        <v>1</v>
      </c>
      <c r="S272" t="str">
        <f t="shared" si="29"/>
        <v>1</v>
      </c>
    </row>
    <row r="273" spans="1:19" x14ac:dyDescent="0.25">
      <c r="A273" t="s">
        <v>292</v>
      </c>
      <c r="B273" t="s">
        <v>11</v>
      </c>
      <c r="C273" t="s">
        <v>17</v>
      </c>
      <c r="D273">
        <v>0</v>
      </c>
      <c r="E273" t="s">
        <v>13</v>
      </c>
      <c r="F273" t="s">
        <v>12</v>
      </c>
      <c r="G273" s="3">
        <v>11146</v>
      </c>
      <c r="H273" s="3">
        <v>0</v>
      </c>
      <c r="I273" s="3">
        <v>136</v>
      </c>
      <c r="J273">
        <v>360</v>
      </c>
      <c r="K273">
        <v>1</v>
      </c>
      <c r="L273" t="s">
        <v>14</v>
      </c>
      <c r="M273" t="s">
        <v>15</v>
      </c>
      <c r="N273">
        <f t="shared" si="24"/>
        <v>11146</v>
      </c>
      <c r="O273" t="str">
        <f t="shared" si="25"/>
        <v>High</v>
      </c>
      <c r="P273" s="4">
        <f t="shared" si="26"/>
        <v>1.2201686703750225E-2</v>
      </c>
      <c r="Q273" t="str">
        <f t="shared" si="27"/>
        <v>Medium</v>
      </c>
      <c r="R273" s="19">
        <f t="shared" si="28"/>
        <v>1</v>
      </c>
      <c r="S273" t="str">
        <f t="shared" si="29"/>
        <v>1</v>
      </c>
    </row>
    <row r="274" spans="1:19" x14ac:dyDescent="0.25">
      <c r="A274" t="s">
        <v>293</v>
      </c>
      <c r="B274" t="s">
        <v>11</v>
      </c>
      <c r="C274" t="s">
        <v>12</v>
      </c>
      <c r="D274">
        <v>0</v>
      </c>
      <c r="E274" t="s">
        <v>13</v>
      </c>
      <c r="F274" t="s">
        <v>12</v>
      </c>
      <c r="G274" s="3">
        <v>2833</v>
      </c>
      <c r="H274" s="3">
        <v>1857</v>
      </c>
      <c r="I274" s="3">
        <v>126</v>
      </c>
      <c r="J274">
        <v>360</v>
      </c>
      <c r="K274">
        <v>1</v>
      </c>
      <c r="L274" t="s">
        <v>18</v>
      </c>
      <c r="M274" t="s">
        <v>15</v>
      </c>
      <c r="N274">
        <f t="shared" si="24"/>
        <v>4690</v>
      </c>
      <c r="O274" t="str">
        <f t="shared" si="25"/>
        <v>Medium</v>
      </c>
      <c r="P274" s="4">
        <f t="shared" si="26"/>
        <v>2.6865671641791045E-2</v>
      </c>
      <c r="Q274" t="str">
        <f t="shared" si="27"/>
        <v>Medium</v>
      </c>
      <c r="R274" s="19">
        <f t="shared" si="28"/>
        <v>1</v>
      </c>
      <c r="S274" t="str">
        <f t="shared" si="29"/>
        <v>2</v>
      </c>
    </row>
    <row r="275" spans="1:19" x14ac:dyDescent="0.25">
      <c r="A275" t="s">
        <v>294</v>
      </c>
      <c r="B275" t="s">
        <v>11</v>
      </c>
      <c r="C275" t="s">
        <v>17</v>
      </c>
      <c r="D275">
        <v>0</v>
      </c>
      <c r="E275" t="s">
        <v>13</v>
      </c>
      <c r="F275" t="s">
        <v>12</v>
      </c>
      <c r="G275" s="3">
        <v>2620</v>
      </c>
      <c r="H275" s="3">
        <v>2223</v>
      </c>
      <c r="I275" s="3">
        <v>150</v>
      </c>
      <c r="J275">
        <v>360</v>
      </c>
      <c r="K275">
        <v>1</v>
      </c>
      <c r="L275" t="s">
        <v>27</v>
      </c>
      <c r="M275" t="s">
        <v>15</v>
      </c>
      <c r="N275">
        <f t="shared" si="24"/>
        <v>4843</v>
      </c>
      <c r="O275" t="str">
        <f t="shared" si="25"/>
        <v>Medium</v>
      </c>
      <c r="P275" s="4">
        <f t="shared" si="26"/>
        <v>3.097253768325418E-2</v>
      </c>
      <c r="Q275" t="str">
        <f t="shared" si="27"/>
        <v>Medium</v>
      </c>
      <c r="R275" s="19">
        <f t="shared" si="28"/>
        <v>1</v>
      </c>
      <c r="S275" t="str">
        <f t="shared" si="29"/>
        <v>3</v>
      </c>
    </row>
    <row r="276" spans="1:19" x14ac:dyDescent="0.25">
      <c r="A276" t="s">
        <v>295</v>
      </c>
      <c r="B276" t="s">
        <v>11</v>
      </c>
      <c r="C276" t="s">
        <v>17</v>
      </c>
      <c r="D276">
        <v>2</v>
      </c>
      <c r="E276" t="s">
        <v>13</v>
      </c>
      <c r="F276" t="s">
        <v>12</v>
      </c>
      <c r="G276" s="3">
        <v>3900</v>
      </c>
      <c r="H276" s="3">
        <v>0</v>
      </c>
      <c r="I276" s="3">
        <v>90</v>
      </c>
      <c r="J276">
        <v>360</v>
      </c>
      <c r="K276">
        <v>1</v>
      </c>
      <c r="L276" t="s">
        <v>27</v>
      </c>
      <c r="M276" t="s">
        <v>15</v>
      </c>
      <c r="N276">
        <f t="shared" si="24"/>
        <v>3900</v>
      </c>
      <c r="O276" t="str">
        <f t="shared" si="25"/>
        <v>Low</v>
      </c>
      <c r="P276" s="4">
        <f t="shared" si="26"/>
        <v>2.3076923076923078E-2</v>
      </c>
      <c r="Q276" t="str">
        <f t="shared" si="27"/>
        <v>Small</v>
      </c>
      <c r="R276" s="19">
        <f t="shared" si="28"/>
        <v>1</v>
      </c>
      <c r="S276" t="str">
        <f t="shared" si="29"/>
        <v>3</v>
      </c>
    </row>
    <row r="277" spans="1:19" x14ac:dyDescent="0.25">
      <c r="A277" t="s">
        <v>296</v>
      </c>
      <c r="B277" t="s">
        <v>11</v>
      </c>
      <c r="C277" t="s">
        <v>17</v>
      </c>
      <c r="D277">
        <v>1</v>
      </c>
      <c r="E277" t="s">
        <v>13</v>
      </c>
      <c r="F277" t="s">
        <v>12</v>
      </c>
      <c r="G277" s="3">
        <v>2750</v>
      </c>
      <c r="H277" s="3">
        <v>1842</v>
      </c>
      <c r="I277" s="3">
        <v>115</v>
      </c>
      <c r="J277">
        <v>360</v>
      </c>
      <c r="K277">
        <v>1</v>
      </c>
      <c r="L277" t="s">
        <v>27</v>
      </c>
      <c r="M277" t="s">
        <v>15</v>
      </c>
      <c r="N277">
        <f t="shared" si="24"/>
        <v>4592</v>
      </c>
      <c r="O277" t="str">
        <f t="shared" si="25"/>
        <v>Medium</v>
      </c>
      <c r="P277" s="4">
        <f t="shared" si="26"/>
        <v>2.504355400696864E-2</v>
      </c>
      <c r="Q277" t="str">
        <f t="shared" si="27"/>
        <v>Medium</v>
      </c>
      <c r="R277" s="19">
        <f t="shared" si="28"/>
        <v>1</v>
      </c>
      <c r="S277" t="str">
        <f t="shared" si="29"/>
        <v>3</v>
      </c>
    </row>
    <row r="278" spans="1:19" x14ac:dyDescent="0.25">
      <c r="A278" t="s">
        <v>297</v>
      </c>
      <c r="B278" t="s">
        <v>11</v>
      </c>
      <c r="C278" t="s">
        <v>17</v>
      </c>
      <c r="D278">
        <v>0</v>
      </c>
      <c r="E278" t="s">
        <v>13</v>
      </c>
      <c r="F278" t="s">
        <v>12</v>
      </c>
      <c r="G278" s="3">
        <v>3993</v>
      </c>
      <c r="H278" s="3">
        <v>3274</v>
      </c>
      <c r="I278" s="3">
        <v>207</v>
      </c>
      <c r="J278">
        <v>360</v>
      </c>
      <c r="K278">
        <v>1</v>
      </c>
      <c r="L278" t="s">
        <v>27</v>
      </c>
      <c r="M278" t="s">
        <v>15</v>
      </c>
      <c r="N278">
        <f t="shared" si="24"/>
        <v>7267</v>
      </c>
      <c r="O278" t="str">
        <f t="shared" si="25"/>
        <v>Medium</v>
      </c>
      <c r="P278" s="4">
        <f t="shared" si="26"/>
        <v>2.848493188385854E-2</v>
      </c>
      <c r="Q278" t="str">
        <f t="shared" si="27"/>
        <v>Large</v>
      </c>
      <c r="R278" s="19">
        <f t="shared" si="28"/>
        <v>1</v>
      </c>
      <c r="S278" t="str">
        <f t="shared" si="29"/>
        <v>3</v>
      </c>
    </row>
    <row r="279" spans="1:19" x14ac:dyDescent="0.25">
      <c r="A279" t="s">
        <v>298</v>
      </c>
      <c r="B279" t="s">
        <v>11</v>
      </c>
      <c r="C279" t="s">
        <v>17</v>
      </c>
      <c r="D279">
        <v>0</v>
      </c>
      <c r="E279" t="s">
        <v>13</v>
      </c>
      <c r="F279" t="s">
        <v>12</v>
      </c>
      <c r="G279" s="3">
        <v>3103</v>
      </c>
      <c r="H279" s="3">
        <v>1300</v>
      </c>
      <c r="I279" s="3">
        <v>80</v>
      </c>
      <c r="J279">
        <v>360</v>
      </c>
      <c r="K279">
        <v>1</v>
      </c>
      <c r="L279" t="s">
        <v>14</v>
      </c>
      <c r="M279" t="s">
        <v>15</v>
      </c>
      <c r="N279">
        <f t="shared" si="24"/>
        <v>4403</v>
      </c>
      <c r="O279" t="str">
        <f t="shared" si="25"/>
        <v>Medium</v>
      </c>
      <c r="P279" s="4">
        <f t="shared" si="26"/>
        <v>1.8169429934135818E-2</v>
      </c>
      <c r="Q279" t="str">
        <f t="shared" si="27"/>
        <v>Small</v>
      </c>
      <c r="R279" s="19">
        <f t="shared" si="28"/>
        <v>1</v>
      </c>
      <c r="S279" t="str">
        <f t="shared" si="29"/>
        <v>1</v>
      </c>
    </row>
    <row r="280" spans="1:19" x14ac:dyDescent="0.25">
      <c r="A280" t="s">
        <v>299</v>
      </c>
      <c r="B280" t="s">
        <v>11</v>
      </c>
      <c r="C280" t="s">
        <v>17</v>
      </c>
      <c r="D280">
        <v>0</v>
      </c>
      <c r="E280" t="s">
        <v>13</v>
      </c>
      <c r="F280" t="s">
        <v>12</v>
      </c>
      <c r="G280" s="3">
        <v>14583</v>
      </c>
      <c r="H280" s="3">
        <v>0</v>
      </c>
      <c r="I280" s="3">
        <v>436</v>
      </c>
      <c r="J280">
        <v>360</v>
      </c>
      <c r="K280">
        <v>1</v>
      </c>
      <c r="L280" t="s">
        <v>27</v>
      </c>
      <c r="M280" t="s">
        <v>15</v>
      </c>
      <c r="N280">
        <f t="shared" si="24"/>
        <v>14583</v>
      </c>
      <c r="O280" t="str">
        <f t="shared" si="25"/>
        <v>High</v>
      </c>
      <c r="P280" s="4">
        <f t="shared" si="26"/>
        <v>2.9897826236028251E-2</v>
      </c>
      <c r="Q280" t="str">
        <f t="shared" si="27"/>
        <v>Large</v>
      </c>
      <c r="R280" s="19">
        <f t="shared" si="28"/>
        <v>1</v>
      </c>
      <c r="S280" t="str">
        <f t="shared" si="29"/>
        <v>3</v>
      </c>
    </row>
    <row r="281" spans="1:19" x14ac:dyDescent="0.25">
      <c r="A281" t="s">
        <v>300</v>
      </c>
      <c r="B281" t="s">
        <v>38</v>
      </c>
      <c r="C281" t="s">
        <v>17</v>
      </c>
      <c r="D281">
        <v>0</v>
      </c>
      <c r="E281" t="s">
        <v>22</v>
      </c>
      <c r="F281" t="s">
        <v>12</v>
      </c>
      <c r="G281" s="3">
        <v>4100</v>
      </c>
      <c r="H281" s="3">
        <v>0</v>
      </c>
      <c r="I281" s="3">
        <v>124</v>
      </c>
      <c r="J281">
        <v>360</v>
      </c>
      <c r="K281">
        <v>1</v>
      </c>
      <c r="L281" t="s">
        <v>18</v>
      </c>
      <c r="M281" t="s">
        <v>15</v>
      </c>
      <c r="N281">
        <f t="shared" si="24"/>
        <v>4100</v>
      </c>
      <c r="O281" t="str">
        <f t="shared" si="25"/>
        <v>Medium</v>
      </c>
      <c r="P281" s="4">
        <f t="shared" si="26"/>
        <v>3.0243902439024389E-2</v>
      </c>
      <c r="Q281" t="str">
        <f t="shared" si="27"/>
        <v>Medium</v>
      </c>
      <c r="R281" s="19">
        <f t="shared" si="28"/>
        <v>1</v>
      </c>
      <c r="S281" t="str">
        <f t="shared" si="29"/>
        <v>2</v>
      </c>
    </row>
    <row r="282" spans="1:19" x14ac:dyDescent="0.25">
      <c r="A282" t="s">
        <v>301</v>
      </c>
      <c r="B282" t="s">
        <v>11</v>
      </c>
      <c r="C282" t="s">
        <v>12</v>
      </c>
      <c r="D282">
        <v>1</v>
      </c>
      <c r="E282" t="s">
        <v>22</v>
      </c>
      <c r="F282" t="s">
        <v>17</v>
      </c>
      <c r="G282" s="3">
        <v>4053</v>
      </c>
      <c r="H282" s="3">
        <v>2426</v>
      </c>
      <c r="I282" s="3">
        <v>158</v>
      </c>
      <c r="J282">
        <v>360</v>
      </c>
      <c r="K282">
        <v>0</v>
      </c>
      <c r="L282" t="s">
        <v>14</v>
      </c>
      <c r="M282" t="s">
        <v>19</v>
      </c>
      <c r="N282">
        <f t="shared" si="24"/>
        <v>6479</v>
      </c>
      <c r="O282" t="str">
        <f t="shared" si="25"/>
        <v>Medium</v>
      </c>
      <c r="P282" s="4">
        <f t="shared" si="26"/>
        <v>2.4386479394968359E-2</v>
      </c>
      <c r="Q282" t="str">
        <f t="shared" si="27"/>
        <v>Medium</v>
      </c>
      <c r="R282" s="19">
        <f t="shared" si="28"/>
        <v>0</v>
      </c>
      <c r="S282" t="str">
        <f t="shared" si="29"/>
        <v>1</v>
      </c>
    </row>
    <row r="283" spans="1:19" x14ac:dyDescent="0.25">
      <c r="A283" t="s">
        <v>302</v>
      </c>
      <c r="B283" t="s">
        <v>11</v>
      </c>
      <c r="C283" t="s">
        <v>17</v>
      </c>
      <c r="D283">
        <v>0</v>
      </c>
      <c r="E283" t="s">
        <v>13</v>
      </c>
      <c r="F283" t="s">
        <v>12</v>
      </c>
      <c r="G283" s="3">
        <v>3927</v>
      </c>
      <c r="H283" s="3">
        <v>800</v>
      </c>
      <c r="I283" s="3">
        <v>112</v>
      </c>
      <c r="J283">
        <v>360</v>
      </c>
      <c r="K283">
        <v>1</v>
      </c>
      <c r="L283" t="s">
        <v>27</v>
      </c>
      <c r="M283" t="s">
        <v>15</v>
      </c>
      <c r="N283">
        <f t="shared" si="24"/>
        <v>4727</v>
      </c>
      <c r="O283" t="str">
        <f t="shared" si="25"/>
        <v>Medium</v>
      </c>
      <c r="P283" s="4">
        <f t="shared" si="26"/>
        <v>2.3693674635075102E-2</v>
      </c>
      <c r="Q283" t="str">
        <f t="shared" si="27"/>
        <v>Medium</v>
      </c>
      <c r="R283" s="19">
        <f t="shared" si="28"/>
        <v>1</v>
      </c>
      <c r="S283" t="str">
        <f t="shared" si="29"/>
        <v>3</v>
      </c>
    </row>
    <row r="284" spans="1:19" x14ac:dyDescent="0.25">
      <c r="A284" t="s">
        <v>303</v>
      </c>
      <c r="B284" t="s">
        <v>11</v>
      </c>
      <c r="C284" t="s">
        <v>17</v>
      </c>
      <c r="D284">
        <v>2</v>
      </c>
      <c r="E284" t="s">
        <v>13</v>
      </c>
      <c r="F284" t="s">
        <v>12</v>
      </c>
      <c r="G284" s="3">
        <v>2301</v>
      </c>
      <c r="H284" s="3">
        <v>985.79998780000005</v>
      </c>
      <c r="I284" s="3">
        <v>78</v>
      </c>
      <c r="J284">
        <v>180</v>
      </c>
      <c r="K284">
        <v>1</v>
      </c>
      <c r="L284" t="s">
        <v>14</v>
      </c>
      <c r="M284" t="s">
        <v>15</v>
      </c>
      <c r="N284">
        <f t="shared" si="24"/>
        <v>3286.7999878000001</v>
      </c>
      <c r="O284" t="str">
        <f t="shared" si="25"/>
        <v>Low</v>
      </c>
      <c r="P284" s="4">
        <f t="shared" si="26"/>
        <v>2.3731288879615956E-2</v>
      </c>
      <c r="Q284" t="str">
        <f t="shared" si="27"/>
        <v>Small</v>
      </c>
      <c r="R284" s="19">
        <f t="shared" si="28"/>
        <v>1</v>
      </c>
      <c r="S284" t="str">
        <f t="shared" si="29"/>
        <v>1</v>
      </c>
    </row>
    <row r="285" spans="1:19" x14ac:dyDescent="0.25">
      <c r="A285" t="s">
        <v>304</v>
      </c>
      <c r="B285" t="s">
        <v>38</v>
      </c>
      <c r="C285" t="s">
        <v>12</v>
      </c>
      <c r="D285">
        <v>0</v>
      </c>
      <c r="E285" t="s">
        <v>13</v>
      </c>
      <c r="F285" t="s">
        <v>12</v>
      </c>
      <c r="G285" s="3">
        <v>1811</v>
      </c>
      <c r="H285" s="3">
        <v>1666</v>
      </c>
      <c r="I285" s="3">
        <v>54</v>
      </c>
      <c r="J285">
        <v>360</v>
      </c>
      <c r="K285">
        <v>1</v>
      </c>
      <c r="L285" t="s">
        <v>14</v>
      </c>
      <c r="M285" t="s">
        <v>15</v>
      </c>
      <c r="N285">
        <f t="shared" si="24"/>
        <v>3477</v>
      </c>
      <c r="O285" t="str">
        <f t="shared" si="25"/>
        <v>Low</v>
      </c>
      <c r="P285" s="4">
        <f t="shared" si="26"/>
        <v>1.5530629853321829E-2</v>
      </c>
      <c r="Q285" t="str">
        <f t="shared" si="27"/>
        <v>Small</v>
      </c>
      <c r="R285" s="19">
        <f t="shared" si="28"/>
        <v>1</v>
      </c>
      <c r="S285" t="str">
        <f t="shared" si="29"/>
        <v>1</v>
      </c>
    </row>
    <row r="286" spans="1:19" x14ac:dyDescent="0.25">
      <c r="A286" t="s">
        <v>305</v>
      </c>
      <c r="B286" t="s">
        <v>11</v>
      </c>
      <c r="C286" t="s">
        <v>17</v>
      </c>
      <c r="D286">
        <v>0</v>
      </c>
      <c r="E286" t="s">
        <v>13</v>
      </c>
      <c r="F286" t="s">
        <v>12</v>
      </c>
      <c r="G286" s="3">
        <v>20667</v>
      </c>
      <c r="H286" s="3">
        <v>0</v>
      </c>
      <c r="I286" s="3">
        <v>0</v>
      </c>
      <c r="J286">
        <v>360</v>
      </c>
      <c r="K286">
        <v>1</v>
      </c>
      <c r="L286" t="s">
        <v>18</v>
      </c>
      <c r="M286" t="s">
        <v>19</v>
      </c>
      <c r="N286">
        <f t="shared" si="24"/>
        <v>20667</v>
      </c>
      <c r="O286" t="str">
        <f t="shared" si="25"/>
        <v>High</v>
      </c>
      <c r="P286" s="4">
        <f t="shared" si="26"/>
        <v>0</v>
      </c>
      <c r="Q286" t="str">
        <f t="shared" si="27"/>
        <v>Small</v>
      </c>
      <c r="R286" s="19">
        <f t="shared" si="28"/>
        <v>0</v>
      </c>
      <c r="S286" t="str">
        <f t="shared" si="29"/>
        <v>2</v>
      </c>
    </row>
    <row r="287" spans="1:19" x14ac:dyDescent="0.25">
      <c r="A287" t="s">
        <v>306</v>
      </c>
      <c r="B287" t="s">
        <v>11</v>
      </c>
      <c r="C287" t="s">
        <v>12</v>
      </c>
      <c r="D287">
        <v>0</v>
      </c>
      <c r="E287" t="s">
        <v>13</v>
      </c>
      <c r="F287" t="s">
        <v>12</v>
      </c>
      <c r="G287" s="3">
        <v>3158</v>
      </c>
      <c r="H287" s="3">
        <v>3053</v>
      </c>
      <c r="I287" s="3">
        <v>89</v>
      </c>
      <c r="J287">
        <v>360</v>
      </c>
      <c r="K287">
        <v>1</v>
      </c>
      <c r="L287" t="s">
        <v>18</v>
      </c>
      <c r="M287" t="s">
        <v>15</v>
      </c>
      <c r="N287">
        <f t="shared" si="24"/>
        <v>6211</v>
      </c>
      <c r="O287" t="str">
        <f t="shared" si="25"/>
        <v>Medium</v>
      </c>
      <c r="P287" s="4">
        <f t="shared" si="26"/>
        <v>1.4329415553051039E-2</v>
      </c>
      <c r="Q287" t="str">
        <f t="shared" si="27"/>
        <v>Small</v>
      </c>
      <c r="R287" s="19">
        <f t="shared" si="28"/>
        <v>1</v>
      </c>
      <c r="S287" t="str">
        <f t="shared" si="29"/>
        <v>2</v>
      </c>
    </row>
    <row r="288" spans="1:19" x14ac:dyDescent="0.25">
      <c r="A288" t="s">
        <v>307</v>
      </c>
      <c r="B288" t="s">
        <v>38</v>
      </c>
      <c r="C288" t="s">
        <v>12</v>
      </c>
      <c r="D288">
        <v>0</v>
      </c>
      <c r="E288" t="s">
        <v>13</v>
      </c>
      <c r="F288" t="s">
        <v>17</v>
      </c>
      <c r="G288" s="3">
        <v>2600</v>
      </c>
      <c r="H288" s="3">
        <v>1717</v>
      </c>
      <c r="I288" s="3">
        <v>99</v>
      </c>
      <c r="J288">
        <v>300</v>
      </c>
      <c r="K288">
        <v>1</v>
      </c>
      <c r="L288" t="s">
        <v>27</v>
      </c>
      <c r="M288" t="s">
        <v>19</v>
      </c>
      <c r="N288">
        <f t="shared" si="24"/>
        <v>4317</v>
      </c>
      <c r="O288" t="str">
        <f t="shared" si="25"/>
        <v>Medium</v>
      </c>
      <c r="P288" s="4">
        <f t="shared" si="26"/>
        <v>2.2932592077831826E-2</v>
      </c>
      <c r="Q288" t="str">
        <f t="shared" si="27"/>
        <v>Small</v>
      </c>
      <c r="R288" s="19">
        <f t="shared" si="28"/>
        <v>0</v>
      </c>
      <c r="S288" t="str">
        <f t="shared" si="29"/>
        <v>3</v>
      </c>
    </row>
    <row r="289" spans="1:19" x14ac:dyDescent="0.25">
      <c r="A289" t="s">
        <v>308</v>
      </c>
      <c r="B289" t="s">
        <v>11</v>
      </c>
      <c r="C289" t="s">
        <v>17</v>
      </c>
      <c r="D289">
        <v>0</v>
      </c>
      <c r="E289" t="s">
        <v>13</v>
      </c>
      <c r="F289" t="s">
        <v>12</v>
      </c>
      <c r="G289" s="3">
        <v>3704</v>
      </c>
      <c r="H289" s="3">
        <v>2000</v>
      </c>
      <c r="I289" s="3">
        <v>120</v>
      </c>
      <c r="J289">
        <v>360</v>
      </c>
      <c r="K289">
        <v>1</v>
      </c>
      <c r="L289" t="s">
        <v>18</v>
      </c>
      <c r="M289" t="s">
        <v>15</v>
      </c>
      <c r="N289">
        <f t="shared" si="24"/>
        <v>5704</v>
      </c>
      <c r="O289" t="str">
        <f t="shared" si="25"/>
        <v>Medium</v>
      </c>
      <c r="P289" s="4">
        <f t="shared" si="26"/>
        <v>2.1037868162692847E-2</v>
      </c>
      <c r="Q289" t="str">
        <f t="shared" si="27"/>
        <v>Medium</v>
      </c>
      <c r="R289" s="19">
        <f t="shared" si="28"/>
        <v>1</v>
      </c>
      <c r="S289" t="str">
        <f t="shared" si="29"/>
        <v>2</v>
      </c>
    </row>
    <row r="290" spans="1:19" x14ac:dyDescent="0.25">
      <c r="A290" t="s">
        <v>309</v>
      </c>
      <c r="B290" t="s">
        <v>38</v>
      </c>
      <c r="C290" t="s">
        <v>12</v>
      </c>
      <c r="D290">
        <v>0</v>
      </c>
      <c r="E290" t="s">
        <v>13</v>
      </c>
      <c r="F290" t="s">
        <v>12</v>
      </c>
      <c r="G290" s="3">
        <v>4124</v>
      </c>
      <c r="H290" s="3">
        <v>0</v>
      </c>
      <c r="I290" s="3">
        <v>115</v>
      </c>
      <c r="J290">
        <v>360</v>
      </c>
      <c r="K290">
        <v>1</v>
      </c>
      <c r="L290" t="s">
        <v>27</v>
      </c>
      <c r="M290" t="s">
        <v>15</v>
      </c>
      <c r="N290">
        <f t="shared" si="24"/>
        <v>4124</v>
      </c>
      <c r="O290" t="str">
        <f t="shared" si="25"/>
        <v>Medium</v>
      </c>
      <c r="P290" s="4">
        <f t="shared" si="26"/>
        <v>2.7885548011639186E-2</v>
      </c>
      <c r="Q290" t="str">
        <f t="shared" si="27"/>
        <v>Medium</v>
      </c>
      <c r="R290" s="19">
        <f t="shared" si="28"/>
        <v>1</v>
      </c>
      <c r="S290" t="str">
        <f t="shared" si="29"/>
        <v>3</v>
      </c>
    </row>
    <row r="291" spans="1:19" x14ac:dyDescent="0.25">
      <c r="A291" t="s">
        <v>310</v>
      </c>
      <c r="B291" t="s">
        <v>11</v>
      </c>
      <c r="C291" t="s">
        <v>12</v>
      </c>
      <c r="D291">
        <v>0</v>
      </c>
      <c r="E291" t="s">
        <v>13</v>
      </c>
      <c r="F291" t="s">
        <v>12</v>
      </c>
      <c r="G291" s="3">
        <v>9508</v>
      </c>
      <c r="H291" s="3">
        <v>0</v>
      </c>
      <c r="I291" s="3">
        <v>187</v>
      </c>
      <c r="J291">
        <v>360</v>
      </c>
      <c r="K291">
        <v>1</v>
      </c>
      <c r="L291" t="s">
        <v>18</v>
      </c>
      <c r="M291" t="s">
        <v>15</v>
      </c>
      <c r="N291">
        <f t="shared" si="24"/>
        <v>9508</v>
      </c>
      <c r="O291" t="str">
        <f t="shared" si="25"/>
        <v>High</v>
      </c>
      <c r="P291" s="4">
        <f t="shared" si="26"/>
        <v>1.9667648296171646E-2</v>
      </c>
      <c r="Q291" t="str">
        <f t="shared" si="27"/>
        <v>Medium</v>
      </c>
      <c r="R291" s="19">
        <f t="shared" si="28"/>
        <v>1</v>
      </c>
      <c r="S291" t="str">
        <f t="shared" si="29"/>
        <v>2</v>
      </c>
    </row>
    <row r="292" spans="1:19" x14ac:dyDescent="0.25">
      <c r="A292" t="s">
        <v>311</v>
      </c>
      <c r="B292" t="s">
        <v>11</v>
      </c>
      <c r="C292" t="s">
        <v>17</v>
      </c>
      <c r="D292">
        <v>0</v>
      </c>
      <c r="E292" t="s">
        <v>13</v>
      </c>
      <c r="F292" t="s">
        <v>12</v>
      </c>
      <c r="G292" s="3">
        <v>3075</v>
      </c>
      <c r="H292" s="3">
        <v>2416</v>
      </c>
      <c r="I292" s="3">
        <v>139</v>
      </c>
      <c r="J292">
        <v>360</v>
      </c>
      <c r="K292">
        <v>1</v>
      </c>
      <c r="L292" t="s">
        <v>18</v>
      </c>
      <c r="M292" t="s">
        <v>15</v>
      </c>
      <c r="N292">
        <f t="shared" si="24"/>
        <v>5491</v>
      </c>
      <c r="O292" t="str">
        <f t="shared" si="25"/>
        <v>Medium</v>
      </c>
      <c r="P292" s="4">
        <f t="shared" si="26"/>
        <v>2.5314150427973046E-2</v>
      </c>
      <c r="Q292" t="str">
        <f t="shared" si="27"/>
        <v>Medium</v>
      </c>
      <c r="R292" s="19">
        <f t="shared" si="28"/>
        <v>1</v>
      </c>
      <c r="S292" t="str">
        <f t="shared" si="29"/>
        <v>2</v>
      </c>
    </row>
    <row r="293" spans="1:19" x14ac:dyDescent="0.25">
      <c r="A293" t="s">
        <v>312</v>
      </c>
      <c r="B293" t="s">
        <v>11</v>
      </c>
      <c r="C293" t="s">
        <v>17</v>
      </c>
      <c r="D293">
        <v>2</v>
      </c>
      <c r="E293" t="s">
        <v>13</v>
      </c>
      <c r="F293" t="s">
        <v>12</v>
      </c>
      <c r="G293" s="3">
        <v>4400</v>
      </c>
      <c r="H293" s="3">
        <v>0</v>
      </c>
      <c r="I293" s="3">
        <v>127</v>
      </c>
      <c r="J293">
        <v>360</v>
      </c>
      <c r="K293">
        <v>0</v>
      </c>
      <c r="L293" t="s">
        <v>27</v>
      </c>
      <c r="M293" t="s">
        <v>19</v>
      </c>
      <c r="N293">
        <f t="shared" si="24"/>
        <v>4400</v>
      </c>
      <c r="O293" t="str">
        <f t="shared" si="25"/>
        <v>Medium</v>
      </c>
      <c r="P293" s="4">
        <f t="shared" si="26"/>
        <v>2.8863636363636362E-2</v>
      </c>
      <c r="Q293" t="str">
        <f t="shared" si="27"/>
        <v>Medium</v>
      </c>
      <c r="R293" s="19">
        <f t="shared" si="28"/>
        <v>0</v>
      </c>
      <c r="S293" t="str">
        <f t="shared" si="29"/>
        <v>3</v>
      </c>
    </row>
    <row r="294" spans="1:19" x14ac:dyDescent="0.25">
      <c r="A294" t="s">
        <v>313</v>
      </c>
      <c r="B294" t="s">
        <v>11</v>
      </c>
      <c r="C294" t="s">
        <v>17</v>
      </c>
      <c r="D294">
        <v>2</v>
      </c>
      <c r="E294" t="s">
        <v>13</v>
      </c>
      <c r="F294" t="s">
        <v>12</v>
      </c>
      <c r="G294" s="3">
        <v>3153</v>
      </c>
      <c r="H294" s="3">
        <v>1560</v>
      </c>
      <c r="I294" s="3">
        <v>134</v>
      </c>
      <c r="J294">
        <v>360</v>
      </c>
      <c r="K294">
        <v>1</v>
      </c>
      <c r="L294" t="s">
        <v>14</v>
      </c>
      <c r="M294" t="s">
        <v>15</v>
      </c>
      <c r="N294">
        <f t="shared" si="24"/>
        <v>4713</v>
      </c>
      <c r="O294" t="str">
        <f t="shared" si="25"/>
        <v>Medium</v>
      </c>
      <c r="P294" s="4">
        <f t="shared" si="26"/>
        <v>2.8431996605134735E-2</v>
      </c>
      <c r="Q294" t="str">
        <f t="shared" si="27"/>
        <v>Medium</v>
      </c>
      <c r="R294" s="19">
        <f t="shared" si="28"/>
        <v>1</v>
      </c>
      <c r="S294" t="str">
        <f t="shared" si="29"/>
        <v>1</v>
      </c>
    </row>
    <row r="295" spans="1:19" x14ac:dyDescent="0.25">
      <c r="A295" t="s">
        <v>314</v>
      </c>
      <c r="B295" t="s">
        <v>38</v>
      </c>
      <c r="C295" t="s">
        <v>12</v>
      </c>
      <c r="D295">
        <v>0</v>
      </c>
      <c r="E295" t="s">
        <v>13</v>
      </c>
      <c r="F295" t="s">
        <v>12</v>
      </c>
      <c r="G295" s="3">
        <v>5417</v>
      </c>
      <c r="H295" s="3">
        <v>0</v>
      </c>
      <c r="I295" s="3">
        <v>143</v>
      </c>
      <c r="J295">
        <v>480</v>
      </c>
      <c r="K295">
        <v>0</v>
      </c>
      <c r="L295" t="s">
        <v>14</v>
      </c>
      <c r="M295" t="s">
        <v>19</v>
      </c>
      <c r="N295">
        <f t="shared" si="24"/>
        <v>5417</v>
      </c>
      <c r="O295" t="str">
        <f t="shared" si="25"/>
        <v>Medium</v>
      </c>
      <c r="P295" s="4">
        <f t="shared" si="26"/>
        <v>2.6398375484585564E-2</v>
      </c>
      <c r="Q295" t="str">
        <f t="shared" si="27"/>
        <v>Medium</v>
      </c>
      <c r="R295" s="19">
        <f t="shared" si="28"/>
        <v>0</v>
      </c>
      <c r="S295" t="str">
        <f t="shared" si="29"/>
        <v>1</v>
      </c>
    </row>
    <row r="296" spans="1:19" x14ac:dyDescent="0.25">
      <c r="A296" t="s">
        <v>315</v>
      </c>
      <c r="B296" t="s">
        <v>11</v>
      </c>
      <c r="C296" t="s">
        <v>17</v>
      </c>
      <c r="D296">
        <v>0</v>
      </c>
      <c r="E296" t="s">
        <v>13</v>
      </c>
      <c r="F296" t="s">
        <v>12</v>
      </c>
      <c r="G296" s="3">
        <v>2383</v>
      </c>
      <c r="H296" s="3">
        <v>3334</v>
      </c>
      <c r="I296" s="3">
        <v>172</v>
      </c>
      <c r="J296">
        <v>360</v>
      </c>
      <c r="K296">
        <v>1</v>
      </c>
      <c r="L296" t="s">
        <v>27</v>
      </c>
      <c r="M296" t="s">
        <v>15</v>
      </c>
      <c r="N296">
        <f t="shared" si="24"/>
        <v>5717</v>
      </c>
      <c r="O296" t="str">
        <f t="shared" si="25"/>
        <v>Medium</v>
      </c>
      <c r="P296" s="4">
        <f t="shared" si="26"/>
        <v>3.008570928808816E-2</v>
      </c>
      <c r="Q296" t="str">
        <f t="shared" si="27"/>
        <v>Medium</v>
      </c>
      <c r="R296" s="19">
        <f t="shared" si="28"/>
        <v>1</v>
      </c>
      <c r="S296" t="str">
        <f t="shared" si="29"/>
        <v>3</v>
      </c>
    </row>
    <row r="297" spans="1:19" x14ac:dyDescent="0.25">
      <c r="A297" t="s">
        <v>316</v>
      </c>
      <c r="B297" t="s">
        <v>11</v>
      </c>
      <c r="C297" t="s">
        <v>17</v>
      </c>
      <c r="D297">
        <v>3</v>
      </c>
      <c r="E297" t="s">
        <v>13</v>
      </c>
      <c r="F297" t="s">
        <v>12</v>
      </c>
      <c r="G297" s="3">
        <v>4416</v>
      </c>
      <c r="H297" s="3">
        <v>1250</v>
      </c>
      <c r="I297" s="3">
        <v>110</v>
      </c>
      <c r="J297">
        <v>360</v>
      </c>
      <c r="K297">
        <v>1</v>
      </c>
      <c r="L297" t="s">
        <v>14</v>
      </c>
      <c r="M297" t="s">
        <v>15</v>
      </c>
      <c r="N297">
        <f t="shared" si="24"/>
        <v>5666</v>
      </c>
      <c r="O297" t="str">
        <f t="shared" si="25"/>
        <v>Medium</v>
      </c>
      <c r="P297" s="4">
        <f t="shared" si="26"/>
        <v>1.9414048711613129E-2</v>
      </c>
      <c r="Q297" t="str">
        <f t="shared" si="27"/>
        <v>Medium</v>
      </c>
      <c r="R297" s="19">
        <f t="shared" si="28"/>
        <v>1</v>
      </c>
      <c r="S297" t="str">
        <f t="shared" si="29"/>
        <v>1</v>
      </c>
    </row>
    <row r="298" spans="1:19" x14ac:dyDescent="0.25">
      <c r="A298" t="s">
        <v>317</v>
      </c>
      <c r="B298" t="s">
        <v>11</v>
      </c>
      <c r="C298" t="s">
        <v>17</v>
      </c>
      <c r="D298">
        <v>1</v>
      </c>
      <c r="E298" t="s">
        <v>13</v>
      </c>
      <c r="F298" t="s">
        <v>12</v>
      </c>
      <c r="G298" s="3">
        <v>6875</v>
      </c>
      <c r="H298" s="3">
        <v>0</v>
      </c>
      <c r="I298" s="3">
        <v>200</v>
      </c>
      <c r="J298">
        <v>360</v>
      </c>
      <c r="K298">
        <v>1</v>
      </c>
      <c r="L298" t="s">
        <v>27</v>
      </c>
      <c r="M298" t="s">
        <v>15</v>
      </c>
      <c r="N298">
        <f t="shared" si="24"/>
        <v>6875</v>
      </c>
      <c r="O298" t="str">
        <f t="shared" si="25"/>
        <v>Medium</v>
      </c>
      <c r="P298" s="4">
        <f t="shared" si="26"/>
        <v>2.9090909090909091E-2</v>
      </c>
      <c r="Q298" t="str">
        <f t="shared" si="27"/>
        <v>Large</v>
      </c>
      <c r="R298" s="19">
        <f t="shared" si="28"/>
        <v>1</v>
      </c>
      <c r="S298" t="str">
        <f t="shared" si="29"/>
        <v>3</v>
      </c>
    </row>
    <row r="299" spans="1:19" x14ac:dyDescent="0.25">
      <c r="A299" t="s">
        <v>318</v>
      </c>
      <c r="B299" t="s">
        <v>38</v>
      </c>
      <c r="C299" t="s">
        <v>17</v>
      </c>
      <c r="D299">
        <v>1</v>
      </c>
      <c r="E299" t="s">
        <v>13</v>
      </c>
      <c r="F299" t="s">
        <v>12</v>
      </c>
      <c r="G299" s="3">
        <v>4666</v>
      </c>
      <c r="H299" s="3">
        <v>0</v>
      </c>
      <c r="I299" s="3">
        <v>135</v>
      </c>
      <c r="J299">
        <v>360</v>
      </c>
      <c r="K299">
        <v>1</v>
      </c>
      <c r="L299" t="s">
        <v>14</v>
      </c>
      <c r="M299" t="s">
        <v>15</v>
      </c>
      <c r="N299">
        <f t="shared" si="24"/>
        <v>4666</v>
      </c>
      <c r="O299" t="str">
        <f t="shared" si="25"/>
        <v>Medium</v>
      </c>
      <c r="P299" s="4">
        <f t="shared" si="26"/>
        <v>2.8932704672096014E-2</v>
      </c>
      <c r="Q299" t="str">
        <f t="shared" si="27"/>
        <v>Medium</v>
      </c>
      <c r="R299" s="19">
        <f t="shared" si="28"/>
        <v>1</v>
      </c>
      <c r="S299" t="str">
        <f t="shared" si="29"/>
        <v>1</v>
      </c>
    </row>
    <row r="300" spans="1:19" x14ac:dyDescent="0.25">
      <c r="A300" t="s">
        <v>319</v>
      </c>
      <c r="B300" t="s">
        <v>38</v>
      </c>
      <c r="C300" t="s">
        <v>12</v>
      </c>
      <c r="D300">
        <v>0</v>
      </c>
      <c r="E300" t="s">
        <v>13</v>
      </c>
      <c r="F300" t="s">
        <v>12</v>
      </c>
      <c r="G300" s="3">
        <v>5000</v>
      </c>
      <c r="H300" s="3">
        <v>2541</v>
      </c>
      <c r="I300" s="3">
        <v>151</v>
      </c>
      <c r="J300">
        <v>480</v>
      </c>
      <c r="K300">
        <v>1</v>
      </c>
      <c r="L300" t="s">
        <v>18</v>
      </c>
      <c r="M300" t="s">
        <v>19</v>
      </c>
      <c r="N300">
        <f t="shared" si="24"/>
        <v>7541</v>
      </c>
      <c r="O300" t="str">
        <f t="shared" si="25"/>
        <v>Medium</v>
      </c>
      <c r="P300" s="4">
        <f t="shared" si="26"/>
        <v>2.0023869513327144E-2</v>
      </c>
      <c r="Q300" t="str">
        <f t="shared" si="27"/>
        <v>Medium</v>
      </c>
      <c r="R300" s="19">
        <f t="shared" si="28"/>
        <v>0</v>
      </c>
      <c r="S300" t="str">
        <f t="shared" si="29"/>
        <v>2</v>
      </c>
    </row>
    <row r="301" spans="1:19" x14ac:dyDescent="0.25">
      <c r="A301" t="s">
        <v>320</v>
      </c>
      <c r="B301" t="s">
        <v>11</v>
      </c>
      <c r="C301" t="s">
        <v>17</v>
      </c>
      <c r="D301">
        <v>1</v>
      </c>
      <c r="E301" t="s">
        <v>13</v>
      </c>
      <c r="F301" t="s">
        <v>12</v>
      </c>
      <c r="G301" s="3">
        <v>2014</v>
      </c>
      <c r="H301" s="3">
        <v>2925</v>
      </c>
      <c r="I301" s="3">
        <v>113</v>
      </c>
      <c r="J301">
        <v>360</v>
      </c>
      <c r="K301">
        <v>1</v>
      </c>
      <c r="L301" t="s">
        <v>14</v>
      </c>
      <c r="M301" t="s">
        <v>19</v>
      </c>
      <c r="N301">
        <f t="shared" si="24"/>
        <v>4939</v>
      </c>
      <c r="O301" t="str">
        <f t="shared" si="25"/>
        <v>Medium</v>
      </c>
      <c r="P301" s="4">
        <f t="shared" si="26"/>
        <v>2.2879125329013969E-2</v>
      </c>
      <c r="Q301" t="str">
        <f t="shared" si="27"/>
        <v>Medium</v>
      </c>
      <c r="R301" s="19">
        <f t="shared" si="28"/>
        <v>0</v>
      </c>
      <c r="S301" t="str">
        <f t="shared" si="29"/>
        <v>1</v>
      </c>
    </row>
    <row r="302" spans="1:19" x14ac:dyDescent="0.25">
      <c r="A302" t="s">
        <v>321</v>
      </c>
      <c r="B302" t="s">
        <v>11</v>
      </c>
      <c r="C302" t="s">
        <v>17</v>
      </c>
      <c r="D302">
        <v>0</v>
      </c>
      <c r="E302" t="s">
        <v>22</v>
      </c>
      <c r="F302" t="s">
        <v>12</v>
      </c>
      <c r="G302" s="3">
        <v>1800</v>
      </c>
      <c r="H302" s="3">
        <v>2934</v>
      </c>
      <c r="I302" s="3">
        <v>93</v>
      </c>
      <c r="J302">
        <v>360</v>
      </c>
      <c r="K302">
        <v>0</v>
      </c>
      <c r="L302" t="s">
        <v>14</v>
      </c>
      <c r="M302" t="s">
        <v>19</v>
      </c>
      <c r="N302">
        <f t="shared" si="24"/>
        <v>4734</v>
      </c>
      <c r="O302" t="str">
        <f t="shared" si="25"/>
        <v>Medium</v>
      </c>
      <c r="P302" s="4">
        <f t="shared" si="26"/>
        <v>1.9645120405576678E-2</v>
      </c>
      <c r="Q302" t="str">
        <f t="shared" si="27"/>
        <v>Small</v>
      </c>
      <c r="R302" s="19">
        <f t="shared" si="28"/>
        <v>0</v>
      </c>
      <c r="S302" t="str">
        <f t="shared" si="29"/>
        <v>1</v>
      </c>
    </row>
    <row r="303" spans="1:19" x14ac:dyDescent="0.25">
      <c r="A303" t="s">
        <v>322</v>
      </c>
      <c r="B303" t="s">
        <v>11</v>
      </c>
      <c r="C303" t="s">
        <v>17</v>
      </c>
      <c r="D303">
        <v>0</v>
      </c>
      <c r="E303" t="s">
        <v>22</v>
      </c>
      <c r="F303" t="s">
        <v>12</v>
      </c>
      <c r="G303" s="3">
        <v>2875</v>
      </c>
      <c r="H303" s="3">
        <v>1750</v>
      </c>
      <c r="I303" s="3">
        <v>105</v>
      </c>
      <c r="J303">
        <v>360</v>
      </c>
      <c r="K303">
        <v>1</v>
      </c>
      <c r="L303" t="s">
        <v>27</v>
      </c>
      <c r="M303" t="s">
        <v>15</v>
      </c>
      <c r="N303">
        <f t="shared" si="24"/>
        <v>4625</v>
      </c>
      <c r="O303" t="str">
        <f t="shared" si="25"/>
        <v>Medium</v>
      </c>
      <c r="P303" s="4">
        <f t="shared" si="26"/>
        <v>2.2702702702702703E-2</v>
      </c>
      <c r="Q303" t="str">
        <f t="shared" si="27"/>
        <v>Medium</v>
      </c>
      <c r="R303" s="19">
        <f t="shared" si="28"/>
        <v>1</v>
      </c>
      <c r="S303" t="str">
        <f t="shared" si="29"/>
        <v>3</v>
      </c>
    </row>
    <row r="304" spans="1:19" x14ac:dyDescent="0.25">
      <c r="A304" t="s">
        <v>323</v>
      </c>
      <c r="B304" t="s">
        <v>38</v>
      </c>
      <c r="C304" t="s">
        <v>12</v>
      </c>
      <c r="D304">
        <v>0</v>
      </c>
      <c r="E304" t="s">
        <v>13</v>
      </c>
      <c r="F304" t="s">
        <v>12</v>
      </c>
      <c r="G304" s="3">
        <v>5000</v>
      </c>
      <c r="H304" s="3">
        <v>0</v>
      </c>
      <c r="I304" s="3">
        <v>132</v>
      </c>
      <c r="J304">
        <v>360</v>
      </c>
      <c r="K304">
        <v>1</v>
      </c>
      <c r="L304" t="s">
        <v>18</v>
      </c>
      <c r="M304" t="s">
        <v>15</v>
      </c>
      <c r="N304">
        <f t="shared" si="24"/>
        <v>5000</v>
      </c>
      <c r="O304" t="str">
        <f t="shared" si="25"/>
        <v>Medium</v>
      </c>
      <c r="P304" s="4">
        <f t="shared" si="26"/>
        <v>2.64E-2</v>
      </c>
      <c r="Q304" t="str">
        <f t="shared" si="27"/>
        <v>Medium</v>
      </c>
      <c r="R304" s="19">
        <f t="shared" si="28"/>
        <v>1</v>
      </c>
      <c r="S304" t="str">
        <f t="shared" si="29"/>
        <v>2</v>
      </c>
    </row>
    <row r="305" spans="1:19" x14ac:dyDescent="0.25">
      <c r="A305" t="s">
        <v>324</v>
      </c>
      <c r="B305" t="s">
        <v>11</v>
      </c>
      <c r="C305" t="s">
        <v>17</v>
      </c>
      <c r="D305">
        <v>1</v>
      </c>
      <c r="E305" t="s">
        <v>13</v>
      </c>
      <c r="F305" t="s">
        <v>12</v>
      </c>
      <c r="G305" s="3">
        <v>1625</v>
      </c>
      <c r="H305" s="3">
        <v>1803</v>
      </c>
      <c r="I305" s="3">
        <v>96</v>
      </c>
      <c r="J305">
        <v>360</v>
      </c>
      <c r="K305">
        <v>1</v>
      </c>
      <c r="L305" t="s">
        <v>14</v>
      </c>
      <c r="M305" t="s">
        <v>15</v>
      </c>
      <c r="N305">
        <f t="shared" si="24"/>
        <v>3428</v>
      </c>
      <c r="O305" t="str">
        <f t="shared" si="25"/>
        <v>Low</v>
      </c>
      <c r="P305" s="4">
        <f t="shared" si="26"/>
        <v>2.8004667444574097E-2</v>
      </c>
      <c r="Q305" t="str">
        <f t="shared" si="27"/>
        <v>Small</v>
      </c>
      <c r="R305" s="19">
        <f t="shared" si="28"/>
        <v>1</v>
      </c>
      <c r="S305" t="str">
        <f t="shared" si="29"/>
        <v>1</v>
      </c>
    </row>
    <row r="306" spans="1:19" x14ac:dyDescent="0.25">
      <c r="A306" t="s">
        <v>325</v>
      </c>
      <c r="B306" t="s">
        <v>11</v>
      </c>
      <c r="C306" t="s">
        <v>12</v>
      </c>
      <c r="D306">
        <v>0</v>
      </c>
      <c r="E306" t="s">
        <v>13</v>
      </c>
      <c r="F306" t="s">
        <v>12</v>
      </c>
      <c r="G306" s="3">
        <v>4000</v>
      </c>
      <c r="H306" s="3">
        <v>2500</v>
      </c>
      <c r="I306" s="3">
        <v>140</v>
      </c>
      <c r="J306">
        <v>360</v>
      </c>
      <c r="K306">
        <v>1</v>
      </c>
      <c r="L306" t="s">
        <v>18</v>
      </c>
      <c r="M306" t="s">
        <v>15</v>
      </c>
      <c r="N306">
        <f t="shared" si="24"/>
        <v>6500</v>
      </c>
      <c r="O306" t="str">
        <f t="shared" si="25"/>
        <v>Medium</v>
      </c>
      <c r="P306" s="4">
        <f t="shared" si="26"/>
        <v>2.1538461538461538E-2</v>
      </c>
      <c r="Q306" t="str">
        <f t="shared" si="27"/>
        <v>Medium</v>
      </c>
      <c r="R306" s="19">
        <f t="shared" si="28"/>
        <v>1</v>
      </c>
      <c r="S306" t="str">
        <f t="shared" si="29"/>
        <v>2</v>
      </c>
    </row>
    <row r="307" spans="1:19" x14ac:dyDescent="0.25">
      <c r="A307" t="s">
        <v>326</v>
      </c>
      <c r="B307" t="s">
        <v>11</v>
      </c>
      <c r="C307" t="s">
        <v>12</v>
      </c>
      <c r="D307">
        <v>0</v>
      </c>
      <c r="E307" t="s">
        <v>22</v>
      </c>
      <c r="F307" t="s">
        <v>12</v>
      </c>
      <c r="G307" s="3">
        <v>2000</v>
      </c>
      <c r="H307" s="3">
        <v>0</v>
      </c>
      <c r="I307" s="3">
        <v>0</v>
      </c>
      <c r="J307">
        <v>360</v>
      </c>
      <c r="K307">
        <v>1</v>
      </c>
      <c r="L307" t="s">
        <v>14</v>
      </c>
      <c r="M307" t="s">
        <v>19</v>
      </c>
      <c r="N307">
        <f t="shared" si="24"/>
        <v>2000</v>
      </c>
      <c r="O307" t="str">
        <f t="shared" si="25"/>
        <v>Low</v>
      </c>
      <c r="P307" s="4">
        <f t="shared" si="26"/>
        <v>0</v>
      </c>
      <c r="Q307" t="str">
        <f t="shared" si="27"/>
        <v>Small</v>
      </c>
      <c r="R307" s="19">
        <f t="shared" si="28"/>
        <v>0</v>
      </c>
      <c r="S307" t="str">
        <f t="shared" si="29"/>
        <v>1</v>
      </c>
    </row>
    <row r="308" spans="1:19" x14ac:dyDescent="0.25">
      <c r="A308" t="s">
        <v>327</v>
      </c>
      <c r="B308" t="s">
        <v>38</v>
      </c>
      <c r="C308" t="s">
        <v>12</v>
      </c>
      <c r="D308">
        <v>0</v>
      </c>
      <c r="E308" t="s">
        <v>13</v>
      </c>
      <c r="F308" t="s">
        <v>12</v>
      </c>
      <c r="G308" s="3">
        <v>3762</v>
      </c>
      <c r="H308" s="3">
        <v>1666</v>
      </c>
      <c r="I308" s="3">
        <v>135</v>
      </c>
      <c r="J308">
        <v>360</v>
      </c>
      <c r="K308">
        <v>1</v>
      </c>
      <c r="L308" t="s">
        <v>18</v>
      </c>
      <c r="M308" t="s">
        <v>15</v>
      </c>
      <c r="N308">
        <f t="shared" si="24"/>
        <v>5428</v>
      </c>
      <c r="O308" t="str">
        <f t="shared" si="25"/>
        <v>Medium</v>
      </c>
      <c r="P308" s="4">
        <f t="shared" si="26"/>
        <v>2.4871039056742816E-2</v>
      </c>
      <c r="Q308" t="str">
        <f t="shared" si="27"/>
        <v>Medium</v>
      </c>
      <c r="R308" s="19">
        <f t="shared" si="28"/>
        <v>1</v>
      </c>
      <c r="S308" t="str">
        <f t="shared" si="29"/>
        <v>2</v>
      </c>
    </row>
    <row r="309" spans="1:19" x14ac:dyDescent="0.25">
      <c r="A309" t="s">
        <v>328</v>
      </c>
      <c r="B309" t="s">
        <v>38</v>
      </c>
      <c r="C309" t="s">
        <v>12</v>
      </c>
      <c r="D309">
        <v>0</v>
      </c>
      <c r="E309" t="s">
        <v>13</v>
      </c>
      <c r="F309" t="s">
        <v>12</v>
      </c>
      <c r="G309" s="3">
        <v>2400</v>
      </c>
      <c r="H309" s="3">
        <v>1863</v>
      </c>
      <c r="I309" s="3">
        <v>104</v>
      </c>
      <c r="J309">
        <v>360</v>
      </c>
      <c r="K309">
        <v>0</v>
      </c>
      <c r="L309" t="s">
        <v>14</v>
      </c>
      <c r="M309" t="s">
        <v>19</v>
      </c>
      <c r="N309">
        <f t="shared" si="24"/>
        <v>4263</v>
      </c>
      <c r="O309" t="str">
        <f t="shared" si="25"/>
        <v>Medium</v>
      </c>
      <c r="P309" s="4">
        <f t="shared" si="26"/>
        <v>2.439596528266479E-2</v>
      </c>
      <c r="Q309" t="str">
        <f t="shared" si="27"/>
        <v>Medium</v>
      </c>
      <c r="R309" s="19">
        <f t="shared" si="28"/>
        <v>0</v>
      </c>
      <c r="S309" t="str">
        <f t="shared" si="29"/>
        <v>1</v>
      </c>
    </row>
    <row r="310" spans="1:19" x14ac:dyDescent="0.25">
      <c r="A310" t="s">
        <v>329</v>
      </c>
      <c r="B310" t="s">
        <v>11</v>
      </c>
      <c r="C310" t="s">
        <v>12</v>
      </c>
      <c r="D310">
        <v>0</v>
      </c>
      <c r="E310" t="s">
        <v>13</v>
      </c>
      <c r="F310" t="s">
        <v>12</v>
      </c>
      <c r="G310" s="3">
        <v>20233</v>
      </c>
      <c r="H310" s="3">
        <v>0</v>
      </c>
      <c r="I310" s="3">
        <v>480</v>
      </c>
      <c r="J310">
        <v>360</v>
      </c>
      <c r="K310">
        <v>1</v>
      </c>
      <c r="L310" t="s">
        <v>18</v>
      </c>
      <c r="M310" t="s">
        <v>19</v>
      </c>
      <c r="N310">
        <f t="shared" si="24"/>
        <v>20233</v>
      </c>
      <c r="O310" t="str">
        <f t="shared" si="25"/>
        <v>High</v>
      </c>
      <c r="P310" s="4">
        <f t="shared" si="26"/>
        <v>2.3723619828992241E-2</v>
      </c>
      <c r="Q310" t="str">
        <f t="shared" si="27"/>
        <v>Large</v>
      </c>
      <c r="R310" s="19">
        <f t="shared" si="28"/>
        <v>0</v>
      </c>
      <c r="S310" t="str">
        <f t="shared" si="29"/>
        <v>2</v>
      </c>
    </row>
    <row r="311" spans="1:19" x14ac:dyDescent="0.25">
      <c r="A311" t="s">
        <v>330</v>
      </c>
      <c r="B311" t="s">
        <v>11</v>
      </c>
      <c r="C311" t="s">
        <v>17</v>
      </c>
      <c r="D311">
        <v>2</v>
      </c>
      <c r="E311" t="s">
        <v>22</v>
      </c>
      <c r="F311" t="s">
        <v>12</v>
      </c>
      <c r="G311" s="3">
        <v>7667</v>
      </c>
      <c r="H311" s="3">
        <v>0</v>
      </c>
      <c r="I311" s="3">
        <v>185</v>
      </c>
      <c r="J311">
        <v>360</v>
      </c>
      <c r="K311">
        <v>0</v>
      </c>
      <c r="L311" t="s">
        <v>18</v>
      </c>
      <c r="M311" t="s">
        <v>15</v>
      </c>
      <c r="N311">
        <f t="shared" si="24"/>
        <v>7667</v>
      </c>
      <c r="O311" t="str">
        <f t="shared" si="25"/>
        <v>Medium</v>
      </c>
      <c r="P311" s="4">
        <f t="shared" si="26"/>
        <v>2.4129385678883526E-2</v>
      </c>
      <c r="Q311" t="str">
        <f t="shared" si="27"/>
        <v>Medium</v>
      </c>
      <c r="R311" s="19">
        <f t="shared" si="28"/>
        <v>1</v>
      </c>
      <c r="S311" t="str">
        <f t="shared" si="29"/>
        <v>2</v>
      </c>
    </row>
    <row r="312" spans="1:19" x14ac:dyDescent="0.25">
      <c r="A312" t="s">
        <v>331</v>
      </c>
      <c r="B312" t="s">
        <v>38</v>
      </c>
      <c r="C312" t="s">
        <v>12</v>
      </c>
      <c r="D312">
        <v>0</v>
      </c>
      <c r="E312" t="s">
        <v>13</v>
      </c>
      <c r="F312" t="s">
        <v>12</v>
      </c>
      <c r="G312" s="3">
        <v>2917</v>
      </c>
      <c r="H312" s="3">
        <v>0</v>
      </c>
      <c r="I312" s="3">
        <v>84</v>
      </c>
      <c r="J312">
        <v>360</v>
      </c>
      <c r="K312">
        <v>1</v>
      </c>
      <c r="L312" t="s">
        <v>27</v>
      </c>
      <c r="M312" t="s">
        <v>15</v>
      </c>
      <c r="N312">
        <f t="shared" si="24"/>
        <v>2917</v>
      </c>
      <c r="O312" t="str">
        <f t="shared" si="25"/>
        <v>Low</v>
      </c>
      <c r="P312" s="4">
        <f t="shared" si="26"/>
        <v>2.8796708947548853E-2</v>
      </c>
      <c r="Q312" t="str">
        <f t="shared" si="27"/>
        <v>Small</v>
      </c>
      <c r="R312" s="19">
        <f t="shared" si="28"/>
        <v>1</v>
      </c>
      <c r="S312" t="str">
        <f t="shared" si="29"/>
        <v>3</v>
      </c>
    </row>
    <row r="313" spans="1:19" x14ac:dyDescent="0.25">
      <c r="A313" t="s">
        <v>332</v>
      </c>
      <c r="B313" t="s">
        <v>11</v>
      </c>
      <c r="C313" t="s">
        <v>12</v>
      </c>
      <c r="D313">
        <v>0</v>
      </c>
      <c r="E313" t="s">
        <v>22</v>
      </c>
      <c r="F313" t="s">
        <v>12</v>
      </c>
      <c r="G313" s="3">
        <v>2927</v>
      </c>
      <c r="H313" s="3">
        <v>2405</v>
      </c>
      <c r="I313" s="3">
        <v>111</v>
      </c>
      <c r="J313">
        <v>360</v>
      </c>
      <c r="K313">
        <v>1</v>
      </c>
      <c r="L313" t="s">
        <v>27</v>
      </c>
      <c r="M313" t="s">
        <v>15</v>
      </c>
      <c r="N313">
        <f t="shared" si="24"/>
        <v>5332</v>
      </c>
      <c r="O313" t="str">
        <f t="shared" si="25"/>
        <v>Medium</v>
      </c>
      <c r="P313" s="4">
        <f t="shared" si="26"/>
        <v>2.0817704426106528E-2</v>
      </c>
      <c r="Q313" t="str">
        <f t="shared" si="27"/>
        <v>Medium</v>
      </c>
      <c r="R313" s="19">
        <f t="shared" si="28"/>
        <v>1</v>
      </c>
      <c r="S313" t="str">
        <f t="shared" si="29"/>
        <v>3</v>
      </c>
    </row>
    <row r="314" spans="1:19" x14ac:dyDescent="0.25">
      <c r="A314" t="s">
        <v>333</v>
      </c>
      <c r="B314" t="s">
        <v>38</v>
      </c>
      <c r="C314" t="s">
        <v>12</v>
      </c>
      <c r="D314">
        <v>0</v>
      </c>
      <c r="E314" t="s">
        <v>13</v>
      </c>
      <c r="F314" t="s">
        <v>12</v>
      </c>
      <c r="G314" s="3">
        <v>2507</v>
      </c>
      <c r="H314" s="3">
        <v>0</v>
      </c>
      <c r="I314" s="3">
        <v>56</v>
      </c>
      <c r="J314">
        <v>360</v>
      </c>
      <c r="K314">
        <v>1</v>
      </c>
      <c r="L314" t="s">
        <v>18</v>
      </c>
      <c r="M314" t="s">
        <v>15</v>
      </c>
      <c r="N314">
        <f t="shared" si="24"/>
        <v>2507</v>
      </c>
      <c r="O314" t="str">
        <f t="shared" si="25"/>
        <v>Low</v>
      </c>
      <c r="P314" s="4">
        <f t="shared" si="26"/>
        <v>2.2337455125648185E-2</v>
      </c>
      <c r="Q314" t="str">
        <f t="shared" si="27"/>
        <v>Small</v>
      </c>
      <c r="R314" s="19">
        <f t="shared" si="28"/>
        <v>1</v>
      </c>
      <c r="S314" t="str">
        <f t="shared" si="29"/>
        <v>2</v>
      </c>
    </row>
    <row r="315" spans="1:19" x14ac:dyDescent="0.25">
      <c r="A315" t="s">
        <v>334</v>
      </c>
      <c r="B315" t="s">
        <v>11</v>
      </c>
      <c r="C315" t="s">
        <v>17</v>
      </c>
      <c r="D315">
        <v>2</v>
      </c>
      <c r="E315" t="s">
        <v>13</v>
      </c>
      <c r="F315" t="s">
        <v>17</v>
      </c>
      <c r="G315" s="3">
        <v>5746</v>
      </c>
      <c r="H315" s="3">
        <v>0</v>
      </c>
      <c r="I315" s="3">
        <v>144</v>
      </c>
      <c r="J315">
        <v>84</v>
      </c>
      <c r="K315">
        <v>0</v>
      </c>
      <c r="L315" t="s">
        <v>18</v>
      </c>
      <c r="M315" t="s">
        <v>15</v>
      </c>
      <c r="N315">
        <f t="shared" si="24"/>
        <v>5746</v>
      </c>
      <c r="O315" t="str">
        <f t="shared" si="25"/>
        <v>Medium</v>
      </c>
      <c r="P315" s="4">
        <f t="shared" si="26"/>
        <v>2.5060911938739994E-2</v>
      </c>
      <c r="Q315" t="str">
        <f t="shared" si="27"/>
        <v>Medium</v>
      </c>
      <c r="R315" s="19">
        <f t="shared" si="28"/>
        <v>1</v>
      </c>
      <c r="S315" t="str">
        <f t="shared" si="29"/>
        <v>2</v>
      </c>
    </row>
    <row r="316" spans="1:19" x14ac:dyDescent="0.25">
      <c r="A316" t="s">
        <v>335</v>
      </c>
      <c r="B316" t="s">
        <v>11</v>
      </c>
      <c r="C316" t="s">
        <v>17</v>
      </c>
      <c r="D316">
        <v>0</v>
      </c>
      <c r="E316" t="s">
        <v>13</v>
      </c>
      <c r="F316" t="s">
        <v>12</v>
      </c>
      <c r="G316" s="3">
        <v>2473</v>
      </c>
      <c r="H316" s="3">
        <v>1843</v>
      </c>
      <c r="I316" s="3">
        <v>159</v>
      </c>
      <c r="J316">
        <v>360</v>
      </c>
      <c r="K316">
        <v>1</v>
      </c>
      <c r="L316" t="s">
        <v>18</v>
      </c>
      <c r="M316" t="s">
        <v>19</v>
      </c>
      <c r="N316">
        <f t="shared" si="24"/>
        <v>4316</v>
      </c>
      <c r="O316" t="str">
        <f t="shared" si="25"/>
        <v>Medium</v>
      </c>
      <c r="P316" s="4">
        <f t="shared" si="26"/>
        <v>3.6839666357738644E-2</v>
      </c>
      <c r="Q316" t="str">
        <f t="shared" si="27"/>
        <v>Medium</v>
      </c>
      <c r="R316" s="19">
        <f t="shared" si="28"/>
        <v>0</v>
      </c>
      <c r="S316" t="str">
        <f t="shared" si="29"/>
        <v>2</v>
      </c>
    </row>
    <row r="317" spans="1:19" x14ac:dyDescent="0.25">
      <c r="A317" t="s">
        <v>336</v>
      </c>
      <c r="B317" t="s">
        <v>11</v>
      </c>
      <c r="C317" t="s">
        <v>17</v>
      </c>
      <c r="D317">
        <v>1</v>
      </c>
      <c r="E317" t="s">
        <v>22</v>
      </c>
      <c r="F317" t="s">
        <v>12</v>
      </c>
      <c r="G317" s="3">
        <v>3399</v>
      </c>
      <c r="H317" s="3">
        <v>1640</v>
      </c>
      <c r="I317" s="3">
        <v>111</v>
      </c>
      <c r="J317">
        <v>180</v>
      </c>
      <c r="K317">
        <v>1</v>
      </c>
      <c r="L317" t="s">
        <v>14</v>
      </c>
      <c r="M317" t="s">
        <v>15</v>
      </c>
      <c r="N317">
        <f t="shared" si="24"/>
        <v>5039</v>
      </c>
      <c r="O317" t="str">
        <f t="shared" si="25"/>
        <v>Medium</v>
      </c>
      <c r="P317" s="4">
        <f t="shared" si="26"/>
        <v>2.2028180194483032E-2</v>
      </c>
      <c r="Q317" t="str">
        <f t="shared" si="27"/>
        <v>Medium</v>
      </c>
      <c r="R317" s="19">
        <f t="shared" si="28"/>
        <v>1</v>
      </c>
      <c r="S317" t="str">
        <f t="shared" si="29"/>
        <v>1</v>
      </c>
    </row>
    <row r="318" spans="1:19" x14ac:dyDescent="0.25">
      <c r="A318" t="s">
        <v>337</v>
      </c>
      <c r="B318" t="s">
        <v>11</v>
      </c>
      <c r="C318" t="s">
        <v>17</v>
      </c>
      <c r="D318">
        <v>2</v>
      </c>
      <c r="E318" t="s">
        <v>13</v>
      </c>
      <c r="F318" t="s">
        <v>12</v>
      </c>
      <c r="G318" s="3">
        <v>3717</v>
      </c>
      <c r="H318" s="3">
        <v>0</v>
      </c>
      <c r="I318" s="3">
        <v>120</v>
      </c>
      <c r="J318">
        <v>360</v>
      </c>
      <c r="K318">
        <v>1</v>
      </c>
      <c r="L318" t="s">
        <v>27</v>
      </c>
      <c r="M318" t="s">
        <v>15</v>
      </c>
      <c r="N318">
        <f t="shared" si="24"/>
        <v>3717</v>
      </c>
      <c r="O318" t="str">
        <f t="shared" si="25"/>
        <v>Low</v>
      </c>
      <c r="P318" s="4">
        <f t="shared" si="26"/>
        <v>3.2284100080710247E-2</v>
      </c>
      <c r="Q318" t="str">
        <f t="shared" si="27"/>
        <v>Medium</v>
      </c>
      <c r="R318" s="19">
        <f t="shared" si="28"/>
        <v>1</v>
      </c>
      <c r="S318" t="str">
        <f t="shared" si="29"/>
        <v>3</v>
      </c>
    </row>
    <row r="319" spans="1:19" x14ac:dyDescent="0.25">
      <c r="A319" t="s">
        <v>338</v>
      </c>
      <c r="B319" t="s">
        <v>11</v>
      </c>
      <c r="C319" t="s">
        <v>17</v>
      </c>
      <c r="D319">
        <v>0</v>
      </c>
      <c r="E319" t="s">
        <v>13</v>
      </c>
      <c r="F319" t="s">
        <v>12</v>
      </c>
      <c r="G319" s="3">
        <v>2058</v>
      </c>
      <c r="H319" s="3">
        <v>2134</v>
      </c>
      <c r="I319" s="3">
        <v>88</v>
      </c>
      <c r="J319">
        <v>360</v>
      </c>
      <c r="K319">
        <v>0</v>
      </c>
      <c r="L319" t="s">
        <v>14</v>
      </c>
      <c r="M319" t="s">
        <v>15</v>
      </c>
      <c r="N319">
        <f t="shared" si="24"/>
        <v>4192</v>
      </c>
      <c r="O319" t="str">
        <f t="shared" si="25"/>
        <v>Medium</v>
      </c>
      <c r="P319" s="4">
        <f t="shared" si="26"/>
        <v>2.0992366412213741E-2</v>
      </c>
      <c r="Q319" t="str">
        <f t="shared" si="27"/>
        <v>Small</v>
      </c>
      <c r="R319" s="19">
        <f t="shared" si="28"/>
        <v>1</v>
      </c>
      <c r="S319" t="str">
        <f t="shared" si="29"/>
        <v>1</v>
      </c>
    </row>
    <row r="320" spans="1:19" x14ac:dyDescent="0.25">
      <c r="A320" t="s">
        <v>339</v>
      </c>
      <c r="B320" t="s">
        <v>38</v>
      </c>
      <c r="C320" t="s">
        <v>12</v>
      </c>
      <c r="D320">
        <v>1</v>
      </c>
      <c r="E320" t="s">
        <v>13</v>
      </c>
      <c r="F320" t="s">
        <v>12</v>
      </c>
      <c r="G320" s="3">
        <v>3541</v>
      </c>
      <c r="H320" s="3">
        <v>0</v>
      </c>
      <c r="I320" s="3">
        <v>112</v>
      </c>
      <c r="J320">
        <v>360</v>
      </c>
      <c r="K320">
        <v>0</v>
      </c>
      <c r="L320" t="s">
        <v>27</v>
      </c>
      <c r="M320" t="s">
        <v>15</v>
      </c>
      <c r="N320">
        <f t="shared" si="24"/>
        <v>3541</v>
      </c>
      <c r="O320" t="str">
        <f t="shared" si="25"/>
        <v>Low</v>
      </c>
      <c r="P320" s="4">
        <f t="shared" si="26"/>
        <v>3.1629483196837054E-2</v>
      </c>
      <c r="Q320" t="str">
        <f t="shared" si="27"/>
        <v>Medium</v>
      </c>
      <c r="R320" s="19">
        <f t="shared" si="28"/>
        <v>1</v>
      </c>
      <c r="S320" t="str">
        <f t="shared" si="29"/>
        <v>3</v>
      </c>
    </row>
    <row r="321" spans="1:19" x14ac:dyDescent="0.25">
      <c r="A321" t="s">
        <v>340</v>
      </c>
      <c r="B321" t="s">
        <v>11</v>
      </c>
      <c r="C321" t="s">
        <v>17</v>
      </c>
      <c r="D321">
        <v>1</v>
      </c>
      <c r="E321" t="s">
        <v>13</v>
      </c>
      <c r="F321" t="s">
        <v>17</v>
      </c>
      <c r="G321" s="3">
        <v>10000</v>
      </c>
      <c r="H321" s="3">
        <v>0</v>
      </c>
      <c r="I321" s="3">
        <v>155</v>
      </c>
      <c r="J321">
        <v>360</v>
      </c>
      <c r="K321">
        <v>1</v>
      </c>
      <c r="L321" t="s">
        <v>18</v>
      </c>
      <c r="M321" t="s">
        <v>19</v>
      </c>
      <c r="N321">
        <f t="shared" si="24"/>
        <v>10000</v>
      </c>
      <c r="O321" t="str">
        <f t="shared" si="25"/>
        <v>High</v>
      </c>
      <c r="P321" s="4">
        <f t="shared" si="26"/>
        <v>1.55E-2</v>
      </c>
      <c r="Q321" t="str">
        <f t="shared" si="27"/>
        <v>Medium</v>
      </c>
      <c r="R321" s="19">
        <f t="shared" si="28"/>
        <v>0</v>
      </c>
      <c r="S321" t="str">
        <f t="shared" si="29"/>
        <v>2</v>
      </c>
    </row>
    <row r="322" spans="1:19" x14ac:dyDescent="0.25">
      <c r="A322" t="s">
        <v>341</v>
      </c>
      <c r="B322" t="s">
        <v>11</v>
      </c>
      <c r="C322" t="s">
        <v>17</v>
      </c>
      <c r="D322">
        <v>0</v>
      </c>
      <c r="E322" t="s">
        <v>13</v>
      </c>
      <c r="F322" t="s">
        <v>12</v>
      </c>
      <c r="G322" s="3">
        <v>2400</v>
      </c>
      <c r="H322" s="3">
        <v>2167</v>
      </c>
      <c r="I322" s="3">
        <v>115</v>
      </c>
      <c r="J322">
        <v>360</v>
      </c>
      <c r="K322">
        <v>1</v>
      </c>
      <c r="L322" t="s">
        <v>27</v>
      </c>
      <c r="M322" t="s">
        <v>15</v>
      </c>
      <c r="N322">
        <f t="shared" si="24"/>
        <v>4567</v>
      </c>
      <c r="O322" t="str">
        <f t="shared" si="25"/>
        <v>Medium</v>
      </c>
      <c r="P322" s="4">
        <f t="shared" si="26"/>
        <v>2.5180643748631486E-2</v>
      </c>
      <c r="Q322" t="str">
        <f t="shared" si="27"/>
        <v>Medium</v>
      </c>
      <c r="R322" s="19">
        <f t="shared" si="28"/>
        <v>1</v>
      </c>
      <c r="S322" t="str">
        <f t="shared" si="29"/>
        <v>3</v>
      </c>
    </row>
    <row r="323" spans="1:19" x14ac:dyDescent="0.25">
      <c r="A323" t="s">
        <v>342</v>
      </c>
      <c r="B323" t="s">
        <v>11</v>
      </c>
      <c r="C323" t="s">
        <v>17</v>
      </c>
      <c r="D323">
        <v>3</v>
      </c>
      <c r="E323" t="s">
        <v>13</v>
      </c>
      <c r="F323" t="s">
        <v>12</v>
      </c>
      <c r="G323" s="3">
        <v>4342</v>
      </c>
      <c r="H323" s="3">
        <v>189</v>
      </c>
      <c r="I323" s="3">
        <v>124</v>
      </c>
      <c r="J323">
        <v>360</v>
      </c>
      <c r="K323">
        <v>1</v>
      </c>
      <c r="L323" t="s">
        <v>27</v>
      </c>
      <c r="M323" t="s">
        <v>15</v>
      </c>
      <c r="N323">
        <f t="shared" ref="N323:N386" si="30">G323+H323</f>
        <v>4531</v>
      </c>
      <c r="O323" t="str">
        <f t="shared" ref="O323:O386" si="31">IF(N323&lt;4000,"Low", IF(N323&lt;8000, "Medium", "High"))</f>
        <v>Medium</v>
      </c>
      <c r="P323" s="4">
        <f t="shared" ref="P323:P386" si="32">I323/N323</f>
        <v>2.7367027146325315E-2</v>
      </c>
      <c r="Q323" t="str">
        <f t="shared" ref="Q323:Q386" si="33">IF(I323&lt;100, "Small", IF(I323&lt;200, "Medium", "Large"))</f>
        <v>Medium</v>
      </c>
      <c r="R323" s="19">
        <f t="shared" ref="R323:R386" si="34">IF(M323="Y", 1*1, 1*0)</f>
        <v>1</v>
      </c>
      <c r="S323" t="str">
        <f t="shared" ref="S323:S386" si="35">IF(L323="Urban","1", IF(L323="Rural", "2", IF(L323="Semiurban","3")))</f>
        <v>3</v>
      </c>
    </row>
    <row r="324" spans="1:19" x14ac:dyDescent="0.25">
      <c r="A324" t="s">
        <v>343</v>
      </c>
      <c r="B324" t="s">
        <v>11</v>
      </c>
      <c r="C324" t="s">
        <v>17</v>
      </c>
      <c r="D324">
        <v>2</v>
      </c>
      <c r="E324" t="s">
        <v>22</v>
      </c>
      <c r="F324" t="s">
        <v>12</v>
      </c>
      <c r="G324" s="3">
        <v>3601</v>
      </c>
      <c r="H324" s="3">
        <v>1590</v>
      </c>
      <c r="I324" s="3">
        <v>0</v>
      </c>
      <c r="J324">
        <v>360</v>
      </c>
      <c r="K324">
        <v>1</v>
      </c>
      <c r="L324" t="s">
        <v>18</v>
      </c>
      <c r="M324" t="s">
        <v>15</v>
      </c>
      <c r="N324">
        <f t="shared" si="30"/>
        <v>5191</v>
      </c>
      <c r="O324" t="str">
        <f t="shared" si="31"/>
        <v>Medium</v>
      </c>
      <c r="P324" s="4">
        <f t="shared" si="32"/>
        <v>0</v>
      </c>
      <c r="Q324" t="str">
        <f t="shared" si="33"/>
        <v>Small</v>
      </c>
      <c r="R324" s="19">
        <f t="shared" si="34"/>
        <v>1</v>
      </c>
      <c r="S324" t="str">
        <f t="shared" si="35"/>
        <v>2</v>
      </c>
    </row>
    <row r="325" spans="1:19" x14ac:dyDescent="0.25">
      <c r="A325" t="s">
        <v>344</v>
      </c>
      <c r="B325" t="s">
        <v>38</v>
      </c>
      <c r="C325" t="s">
        <v>12</v>
      </c>
      <c r="D325">
        <v>0</v>
      </c>
      <c r="E325" t="s">
        <v>13</v>
      </c>
      <c r="F325" t="s">
        <v>12</v>
      </c>
      <c r="G325" s="3">
        <v>3166</v>
      </c>
      <c r="H325" s="3">
        <v>2985</v>
      </c>
      <c r="I325" s="3">
        <v>132</v>
      </c>
      <c r="J325">
        <v>360</v>
      </c>
      <c r="K325">
        <v>0</v>
      </c>
      <c r="L325" t="s">
        <v>18</v>
      </c>
      <c r="M325" t="s">
        <v>15</v>
      </c>
      <c r="N325">
        <f t="shared" si="30"/>
        <v>6151</v>
      </c>
      <c r="O325" t="str">
        <f t="shared" si="31"/>
        <v>Medium</v>
      </c>
      <c r="P325" s="4">
        <f t="shared" si="32"/>
        <v>2.1459925215412127E-2</v>
      </c>
      <c r="Q325" t="str">
        <f t="shared" si="33"/>
        <v>Medium</v>
      </c>
      <c r="R325" s="19">
        <f t="shared" si="34"/>
        <v>1</v>
      </c>
      <c r="S325" t="str">
        <f t="shared" si="35"/>
        <v>2</v>
      </c>
    </row>
    <row r="326" spans="1:19" x14ac:dyDescent="0.25">
      <c r="A326" t="s">
        <v>345</v>
      </c>
      <c r="B326" t="s">
        <v>11</v>
      </c>
      <c r="C326" t="s">
        <v>17</v>
      </c>
      <c r="D326">
        <v>3</v>
      </c>
      <c r="E326" t="s">
        <v>13</v>
      </c>
      <c r="F326" t="s">
        <v>12</v>
      </c>
      <c r="G326" s="3">
        <v>15000</v>
      </c>
      <c r="H326" s="3">
        <v>0</v>
      </c>
      <c r="I326" s="3">
        <v>300</v>
      </c>
      <c r="J326">
        <v>360</v>
      </c>
      <c r="K326">
        <v>1</v>
      </c>
      <c r="L326" t="s">
        <v>18</v>
      </c>
      <c r="M326" t="s">
        <v>15</v>
      </c>
      <c r="N326">
        <f t="shared" si="30"/>
        <v>15000</v>
      </c>
      <c r="O326" t="str">
        <f t="shared" si="31"/>
        <v>High</v>
      </c>
      <c r="P326" s="4">
        <f t="shared" si="32"/>
        <v>0.02</v>
      </c>
      <c r="Q326" t="str">
        <f t="shared" si="33"/>
        <v>Large</v>
      </c>
      <c r="R326" s="19">
        <f t="shared" si="34"/>
        <v>1</v>
      </c>
      <c r="S326" t="str">
        <f t="shared" si="35"/>
        <v>2</v>
      </c>
    </row>
    <row r="327" spans="1:19" x14ac:dyDescent="0.25">
      <c r="A327" t="s">
        <v>346</v>
      </c>
      <c r="B327" t="s">
        <v>11</v>
      </c>
      <c r="C327" t="s">
        <v>17</v>
      </c>
      <c r="D327">
        <v>1</v>
      </c>
      <c r="E327" t="s">
        <v>13</v>
      </c>
      <c r="F327" t="s">
        <v>17</v>
      </c>
      <c r="G327" s="3">
        <v>8666</v>
      </c>
      <c r="H327" s="3">
        <v>4983</v>
      </c>
      <c r="I327" s="3">
        <v>376</v>
      </c>
      <c r="J327">
        <v>360</v>
      </c>
      <c r="K327">
        <v>0</v>
      </c>
      <c r="L327" t="s">
        <v>18</v>
      </c>
      <c r="M327" t="s">
        <v>19</v>
      </c>
      <c r="N327">
        <f t="shared" si="30"/>
        <v>13649</v>
      </c>
      <c r="O327" t="str">
        <f t="shared" si="31"/>
        <v>High</v>
      </c>
      <c r="P327" s="4">
        <f t="shared" si="32"/>
        <v>2.7547805700051286E-2</v>
      </c>
      <c r="Q327" t="str">
        <f t="shared" si="33"/>
        <v>Large</v>
      </c>
      <c r="R327" s="19">
        <f t="shared" si="34"/>
        <v>0</v>
      </c>
      <c r="S327" t="str">
        <f t="shared" si="35"/>
        <v>2</v>
      </c>
    </row>
    <row r="328" spans="1:19" x14ac:dyDescent="0.25">
      <c r="A328" t="s">
        <v>347</v>
      </c>
      <c r="B328" t="s">
        <v>11</v>
      </c>
      <c r="C328" t="s">
        <v>12</v>
      </c>
      <c r="D328">
        <v>0</v>
      </c>
      <c r="E328" t="s">
        <v>13</v>
      </c>
      <c r="F328" t="s">
        <v>12</v>
      </c>
      <c r="G328" s="3">
        <v>4917</v>
      </c>
      <c r="H328" s="3">
        <v>0</v>
      </c>
      <c r="I328" s="3">
        <v>130</v>
      </c>
      <c r="J328">
        <v>360</v>
      </c>
      <c r="K328">
        <v>0</v>
      </c>
      <c r="L328" t="s">
        <v>18</v>
      </c>
      <c r="M328" t="s">
        <v>15</v>
      </c>
      <c r="N328">
        <f t="shared" si="30"/>
        <v>4917</v>
      </c>
      <c r="O328" t="str">
        <f t="shared" si="31"/>
        <v>Medium</v>
      </c>
      <c r="P328" s="4">
        <f t="shared" si="32"/>
        <v>2.6438885499288182E-2</v>
      </c>
      <c r="Q328" t="str">
        <f t="shared" si="33"/>
        <v>Medium</v>
      </c>
      <c r="R328" s="19">
        <f t="shared" si="34"/>
        <v>1</v>
      </c>
      <c r="S328" t="str">
        <f t="shared" si="35"/>
        <v>2</v>
      </c>
    </row>
    <row r="329" spans="1:19" x14ac:dyDescent="0.25">
      <c r="A329" t="s">
        <v>348</v>
      </c>
      <c r="B329" t="s">
        <v>11</v>
      </c>
      <c r="C329" t="s">
        <v>17</v>
      </c>
      <c r="D329">
        <v>0</v>
      </c>
      <c r="E329" t="s">
        <v>13</v>
      </c>
      <c r="F329" t="s">
        <v>17</v>
      </c>
      <c r="G329" s="3">
        <v>5818</v>
      </c>
      <c r="H329" s="3">
        <v>2160</v>
      </c>
      <c r="I329" s="3">
        <v>184</v>
      </c>
      <c r="J329">
        <v>360</v>
      </c>
      <c r="K329">
        <v>1</v>
      </c>
      <c r="L329" t="s">
        <v>27</v>
      </c>
      <c r="M329" t="s">
        <v>15</v>
      </c>
      <c r="N329">
        <f t="shared" si="30"/>
        <v>7978</v>
      </c>
      <c r="O329" t="str">
        <f t="shared" si="31"/>
        <v>Medium</v>
      </c>
      <c r="P329" s="4">
        <f t="shared" si="32"/>
        <v>2.3063424417147156E-2</v>
      </c>
      <c r="Q329" t="str">
        <f t="shared" si="33"/>
        <v>Medium</v>
      </c>
      <c r="R329" s="19">
        <f t="shared" si="34"/>
        <v>1</v>
      </c>
      <c r="S329" t="str">
        <f t="shared" si="35"/>
        <v>3</v>
      </c>
    </row>
    <row r="330" spans="1:19" x14ac:dyDescent="0.25">
      <c r="A330" t="s">
        <v>349</v>
      </c>
      <c r="B330" t="s">
        <v>38</v>
      </c>
      <c r="C330" t="s">
        <v>17</v>
      </c>
      <c r="D330">
        <v>0</v>
      </c>
      <c r="E330" t="s">
        <v>13</v>
      </c>
      <c r="F330" t="s">
        <v>12</v>
      </c>
      <c r="G330" s="3">
        <v>4333</v>
      </c>
      <c r="H330" s="3">
        <v>2451</v>
      </c>
      <c r="I330" s="3">
        <v>110</v>
      </c>
      <c r="J330">
        <v>360</v>
      </c>
      <c r="K330">
        <v>1</v>
      </c>
      <c r="L330" t="s">
        <v>14</v>
      </c>
      <c r="M330" t="s">
        <v>19</v>
      </c>
      <c r="N330">
        <f t="shared" si="30"/>
        <v>6784</v>
      </c>
      <c r="O330" t="str">
        <f t="shared" si="31"/>
        <v>Medium</v>
      </c>
      <c r="P330" s="4">
        <f t="shared" si="32"/>
        <v>1.6214622641509434E-2</v>
      </c>
      <c r="Q330" t="str">
        <f t="shared" si="33"/>
        <v>Medium</v>
      </c>
      <c r="R330" s="19">
        <f t="shared" si="34"/>
        <v>0</v>
      </c>
      <c r="S330" t="str">
        <f t="shared" si="35"/>
        <v>1</v>
      </c>
    </row>
    <row r="331" spans="1:19" x14ac:dyDescent="0.25">
      <c r="A331" t="s">
        <v>350</v>
      </c>
      <c r="B331" t="s">
        <v>38</v>
      </c>
      <c r="C331" t="s">
        <v>12</v>
      </c>
      <c r="D331">
        <v>0</v>
      </c>
      <c r="E331" t="s">
        <v>13</v>
      </c>
      <c r="F331" t="s">
        <v>12</v>
      </c>
      <c r="G331" s="3">
        <v>2500</v>
      </c>
      <c r="H331" s="3">
        <v>0</v>
      </c>
      <c r="I331" s="3">
        <v>67</v>
      </c>
      <c r="J331">
        <v>360</v>
      </c>
      <c r="K331">
        <v>1</v>
      </c>
      <c r="L331" t="s">
        <v>14</v>
      </c>
      <c r="M331" t="s">
        <v>15</v>
      </c>
      <c r="N331">
        <f t="shared" si="30"/>
        <v>2500</v>
      </c>
      <c r="O331" t="str">
        <f t="shared" si="31"/>
        <v>Low</v>
      </c>
      <c r="P331" s="4">
        <f t="shared" si="32"/>
        <v>2.6800000000000001E-2</v>
      </c>
      <c r="Q331" t="str">
        <f t="shared" si="33"/>
        <v>Small</v>
      </c>
      <c r="R331" s="19">
        <f t="shared" si="34"/>
        <v>1</v>
      </c>
      <c r="S331" t="str">
        <f t="shared" si="35"/>
        <v>1</v>
      </c>
    </row>
    <row r="332" spans="1:19" x14ac:dyDescent="0.25">
      <c r="A332" t="s">
        <v>351</v>
      </c>
      <c r="B332" t="s">
        <v>11</v>
      </c>
      <c r="C332" t="s">
        <v>12</v>
      </c>
      <c r="D332">
        <v>1</v>
      </c>
      <c r="E332" t="s">
        <v>13</v>
      </c>
      <c r="F332" t="s">
        <v>12</v>
      </c>
      <c r="G332" s="3">
        <v>4384</v>
      </c>
      <c r="H332" s="3">
        <v>1793</v>
      </c>
      <c r="I332" s="3">
        <v>117</v>
      </c>
      <c r="J332">
        <v>360</v>
      </c>
      <c r="K332">
        <v>1</v>
      </c>
      <c r="L332" t="s">
        <v>14</v>
      </c>
      <c r="M332" t="s">
        <v>15</v>
      </c>
      <c r="N332">
        <f t="shared" si="30"/>
        <v>6177</v>
      </c>
      <c r="O332" t="str">
        <f t="shared" si="31"/>
        <v>Medium</v>
      </c>
      <c r="P332" s="4">
        <f t="shared" si="32"/>
        <v>1.8941233608547839E-2</v>
      </c>
      <c r="Q332" t="str">
        <f t="shared" si="33"/>
        <v>Medium</v>
      </c>
      <c r="R332" s="19">
        <f t="shared" si="34"/>
        <v>1</v>
      </c>
      <c r="S332" t="str">
        <f t="shared" si="35"/>
        <v>1</v>
      </c>
    </row>
    <row r="333" spans="1:19" x14ac:dyDescent="0.25">
      <c r="A333" t="s">
        <v>352</v>
      </c>
      <c r="B333" t="s">
        <v>11</v>
      </c>
      <c r="C333" t="s">
        <v>12</v>
      </c>
      <c r="D333">
        <v>0</v>
      </c>
      <c r="E333" t="s">
        <v>13</v>
      </c>
      <c r="F333" t="s">
        <v>12</v>
      </c>
      <c r="G333" s="3">
        <v>2935</v>
      </c>
      <c r="H333" s="3">
        <v>0</v>
      </c>
      <c r="I333" s="3">
        <v>98</v>
      </c>
      <c r="J333">
        <v>360</v>
      </c>
      <c r="K333">
        <v>1</v>
      </c>
      <c r="L333" t="s">
        <v>27</v>
      </c>
      <c r="M333" t="s">
        <v>15</v>
      </c>
      <c r="N333">
        <f t="shared" si="30"/>
        <v>2935</v>
      </c>
      <c r="O333" t="str">
        <f t="shared" si="31"/>
        <v>Low</v>
      </c>
      <c r="P333" s="4">
        <f t="shared" si="32"/>
        <v>3.3390119250425891E-2</v>
      </c>
      <c r="Q333" t="str">
        <f t="shared" si="33"/>
        <v>Small</v>
      </c>
      <c r="R333" s="19">
        <f t="shared" si="34"/>
        <v>1</v>
      </c>
      <c r="S333" t="str">
        <f t="shared" si="35"/>
        <v>3</v>
      </c>
    </row>
    <row r="334" spans="1:19" x14ac:dyDescent="0.25">
      <c r="A334" t="s">
        <v>353</v>
      </c>
      <c r="B334" t="s">
        <v>11</v>
      </c>
      <c r="C334" t="s">
        <v>12</v>
      </c>
      <c r="D334">
        <v>0</v>
      </c>
      <c r="E334" t="s">
        <v>13</v>
      </c>
      <c r="F334" t="s">
        <v>12</v>
      </c>
      <c r="G334" s="3">
        <v>2833</v>
      </c>
      <c r="H334" s="3">
        <v>0</v>
      </c>
      <c r="I334" s="3">
        <v>71</v>
      </c>
      <c r="J334">
        <v>360</v>
      </c>
      <c r="K334">
        <v>1</v>
      </c>
      <c r="L334" t="s">
        <v>14</v>
      </c>
      <c r="M334" t="s">
        <v>15</v>
      </c>
      <c r="N334">
        <f t="shared" si="30"/>
        <v>2833</v>
      </c>
      <c r="O334" t="str">
        <f t="shared" si="31"/>
        <v>Low</v>
      </c>
      <c r="P334" s="4">
        <f t="shared" si="32"/>
        <v>2.5061771973173313E-2</v>
      </c>
      <c r="Q334" t="str">
        <f t="shared" si="33"/>
        <v>Small</v>
      </c>
      <c r="R334" s="19">
        <f t="shared" si="34"/>
        <v>1</v>
      </c>
      <c r="S334" t="str">
        <f t="shared" si="35"/>
        <v>1</v>
      </c>
    </row>
    <row r="335" spans="1:19" x14ac:dyDescent="0.25">
      <c r="A335" t="s">
        <v>354</v>
      </c>
      <c r="B335" t="s">
        <v>11</v>
      </c>
      <c r="C335" t="s">
        <v>17</v>
      </c>
      <c r="D335">
        <v>0</v>
      </c>
      <c r="E335" t="s">
        <v>13</v>
      </c>
      <c r="F335" t="s">
        <v>12</v>
      </c>
      <c r="G335" s="3">
        <v>63337</v>
      </c>
      <c r="H335" s="3">
        <v>0</v>
      </c>
      <c r="I335" s="3">
        <v>490</v>
      </c>
      <c r="J335">
        <v>180</v>
      </c>
      <c r="K335">
        <v>1</v>
      </c>
      <c r="L335" t="s">
        <v>14</v>
      </c>
      <c r="M335" t="s">
        <v>15</v>
      </c>
      <c r="N335">
        <f t="shared" si="30"/>
        <v>63337</v>
      </c>
      <c r="O335" t="str">
        <f t="shared" si="31"/>
        <v>High</v>
      </c>
      <c r="P335" s="4">
        <f t="shared" si="32"/>
        <v>7.7363942087563349E-3</v>
      </c>
      <c r="Q335" t="str">
        <f t="shared" si="33"/>
        <v>Large</v>
      </c>
      <c r="R335" s="19">
        <f t="shared" si="34"/>
        <v>1</v>
      </c>
      <c r="S335" t="str">
        <f t="shared" si="35"/>
        <v>1</v>
      </c>
    </row>
    <row r="336" spans="1:19" x14ac:dyDescent="0.25">
      <c r="A336" t="s">
        <v>355</v>
      </c>
      <c r="B336" t="s">
        <v>38</v>
      </c>
      <c r="C336" t="s">
        <v>17</v>
      </c>
      <c r="D336">
        <v>1</v>
      </c>
      <c r="E336" t="s">
        <v>13</v>
      </c>
      <c r="F336" t="s">
        <v>17</v>
      </c>
      <c r="G336" s="3">
        <v>9833</v>
      </c>
      <c r="H336" s="3">
        <v>1833</v>
      </c>
      <c r="I336" s="3">
        <v>182</v>
      </c>
      <c r="J336">
        <v>180</v>
      </c>
      <c r="K336">
        <v>1</v>
      </c>
      <c r="L336" t="s">
        <v>14</v>
      </c>
      <c r="M336" t="s">
        <v>15</v>
      </c>
      <c r="N336">
        <f t="shared" si="30"/>
        <v>11666</v>
      </c>
      <c r="O336" t="str">
        <f t="shared" si="31"/>
        <v>High</v>
      </c>
      <c r="P336" s="4">
        <f t="shared" si="32"/>
        <v>1.5600891479513115E-2</v>
      </c>
      <c r="Q336" t="str">
        <f t="shared" si="33"/>
        <v>Medium</v>
      </c>
      <c r="R336" s="19">
        <f t="shared" si="34"/>
        <v>1</v>
      </c>
      <c r="S336" t="str">
        <f t="shared" si="35"/>
        <v>1</v>
      </c>
    </row>
    <row r="337" spans="1:19" x14ac:dyDescent="0.25">
      <c r="A337" t="s">
        <v>356</v>
      </c>
      <c r="B337" t="s">
        <v>11</v>
      </c>
      <c r="C337" t="s">
        <v>17</v>
      </c>
      <c r="D337">
        <v>0</v>
      </c>
      <c r="E337" t="s">
        <v>13</v>
      </c>
      <c r="F337" t="s">
        <v>17</v>
      </c>
      <c r="G337" s="3">
        <v>5503</v>
      </c>
      <c r="H337" s="3">
        <v>4490</v>
      </c>
      <c r="I337" s="3">
        <v>70</v>
      </c>
      <c r="J337">
        <v>360</v>
      </c>
      <c r="K337">
        <v>1</v>
      </c>
      <c r="L337" t="s">
        <v>27</v>
      </c>
      <c r="M337" t="s">
        <v>15</v>
      </c>
      <c r="N337">
        <f t="shared" si="30"/>
        <v>9993</v>
      </c>
      <c r="O337" t="str">
        <f t="shared" si="31"/>
        <v>High</v>
      </c>
      <c r="P337" s="4">
        <f t="shared" si="32"/>
        <v>7.0049034324026821E-3</v>
      </c>
      <c r="Q337" t="str">
        <f t="shared" si="33"/>
        <v>Small</v>
      </c>
      <c r="R337" s="19">
        <f t="shared" si="34"/>
        <v>1</v>
      </c>
      <c r="S337" t="str">
        <f t="shared" si="35"/>
        <v>3</v>
      </c>
    </row>
    <row r="338" spans="1:19" x14ac:dyDescent="0.25">
      <c r="A338" t="s">
        <v>357</v>
      </c>
      <c r="B338" t="s">
        <v>11</v>
      </c>
      <c r="C338" t="s">
        <v>17</v>
      </c>
      <c r="D338">
        <v>1</v>
      </c>
      <c r="E338" t="s">
        <v>13</v>
      </c>
      <c r="F338" t="s">
        <v>12</v>
      </c>
      <c r="G338" s="3">
        <v>5250</v>
      </c>
      <c r="H338" s="3">
        <v>688</v>
      </c>
      <c r="I338" s="3">
        <v>160</v>
      </c>
      <c r="J338">
        <v>360</v>
      </c>
      <c r="K338">
        <v>1</v>
      </c>
      <c r="L338" t="s">
        <v>18</v>
      </c>
      <c r="M338" t="s">
        <v>15</v>
      </c>
      <c r="N338">
        <f t="shared" si="30"/>
        <v>5938</v>
      </c>
      <c r="O338" t="str">
        <f t="shared" si="31"/>
        <v>Medium</v>
      </c>
      <c r="P338" s="4">
        <f t="shared" si="32"/>
        <v>2.694509936005389E-2</v>
      </c>
      <c r="Q338" t="str">
        <f t="shared" si="33"/>
        <v>Medium</v>
      </c>
      <c r="R338" s="19">
        <f t="shared" si="34"/>
        <v>1</v>
      </c>
      <c r="S338" t="str">
        <f t="shared" si="35"/>
        <v>2</v>
      </c>
    </row>
    <row r="339" spans="1:19" x14ac:dyDescent="0.25">
      <c r="A339" t="s">
        <v>358</v>
      </c>
      <c r="B339" t="s">
        <v>11</v>
      </c>
      <c r="C339" t="s">
        <v>17</v>
      </c>
      <c r="D339">
        <v>2</v>
      </c>
      <c r="E339" t="s">
        <v>13</v>
      </c>
      <c r="F339" t="s">
        <v>17</v>
      </c>
      <c r="G339" s="3">
        <v>2500</v>
      </c>
      <c r="H339" s="3">
        <v>4600</v>
      </c>
      <c r="I339" s="3">
        <v>176</v>
      </c>
      <c r="J339">
        <v>360</v>
      </c>
      <c r="K339">
        <v>1</v>
      </c>
      <c r="L339" t="s">
        <v>18</v>
      </c>
      <c r="M339" t="s">
        <v>15</v>
      </c>
      <c r="N339">
        <f t="shared" si="30"/>
        <v>7100</v>
      </c>
      <c r="O339" t="str">
        <f t="shared" si="31"/>
        <v>Medium</v>
      </c>
      <c r="P339" s="4">
        <f t="shared" si="32"/>
        <v>2.4788732394366197E-2</v>
      </c>
      <c r="Q339" t="str">
        <f t="shared" si="33"/>
        <v>Medium</v>
      </c>
      <c r="R339" s="19">
        <f t="shared" si="34"/>
        <v>1</v>
      </c>
      <c r="S339" t="str">
        <f t="shared" si="35"/>
        <v>2</v>
      </c>
    </row>
    <row r="340" spans="1:19" x14ac:dyDescent="0.25">
      <c r="A340" t="s">
        <v>359</v>
      </c>
      <c r="B340" t="s">
        <v>38</v>
      </c>
      <c r="C340" t="s">
        <v>12</v>
      </c>
      <c r="D340">
        <v>3</v>
      </c>
      <c r="E340" t="s">
        <v>22</v>
      </c>
      <c r="F340" t="s">
        <v>12</v>
      </c>
      <c r="G340" s="3">
        <v>1830</v>
      </c>
      <c r="H340" s="3">
        <v>0</v>
      </c>
      <c r="I340" s="3">
        <v>0</v>
      </c>
      <c r="J340">
        <v>360</v>
      </c>
      <c r="K340">
        <v>0</v>
      </c>
      <c r="L340" t="s">
        <v>14</v>
      </c>
      <c r="M340" t="s">
        <v>19</v>
      </c>
      <c r="N340">
        <f t="shared" si="30"/>
        <v>1830</v>
      </c>
      <c r="O340" t="str">
        <f t="shared" si="31"/>
        <v>Low</v>
      </c>
      <c r="P340" s="4">
        <f t="shared" si="32"/>
        <v>0</v>
      </c>
      <c r="Q340" t="str">
        <f t="shared" si="33"/>
        <v>Small</v>
      </c>
      <c r="R340" s="19">
        <f t="shared" si="34"/>
        <v>0</v>
      </c>
      <c r="S340" t="str">
        <f t="shared" si="35"/>
        <v>1</v>
      </c>
    </row>
    <row r="341" spans="1:19" x14ac:dyDescent="0.25">
      <c r="A341" t="s">
        <v>360</v>
      </c>
      <c r="B341" t="s">
        <v>38</v>
      </c>
      <c r="C341" t="s">
        <v>12</v>
      </c>
      <c r="D341">
        <v>0</v>
      </c>
      <c r="E341" t="s">
        <v>13</v>
      </c>
      <c r="F341" t="s">
        <v>12</v>
      </c>
      <c r="G341" s="3">
        <v>4160</v>
      </c>
      <c r="H341" s="3">
        <v>0</v>
      </c>
      <c r="I341" s="3">
        <v>71</v>
      </c>
      <c r="J341">
        <v>360</v>
      </c>
      <c r="K341">
        <v>1</v>
      </c>
      <c r="L341" t="s">
        <v>27</v>
      </c>
      <c r="M341" t="s">
        <v>15</v>
      </c>
      <c r="N341">
        <f t="shared" si="30"/>
        <v>4160</v>
      </c>
      <c r="O341" t="str">
        <f t="shared" si="31"/>
        <v>Medium</v>
      </c>
      <c r="P341" s="4">
        <f t="shared" si="32"/>
        <v>1.7067307692307691E-2</v>
      </c>
      <c r="Q341" t="str">
        <f t="shared" si="33"/>
        <v>Small</v>
      </c>
      <c r="R341" s="19">
        <f t="shared" si="34"/>
        <v>1</v>
      </c>
      <c r="S341" t="str">
        <f t="shared" si="35"/>
        <v>3</v>
      </c>
    </row>
    <row r="342" spans="1:19" x14ac:dyDescent="0.25">
      <c r="A342" t="s">
        <v>361</v>
      </c>
      <c r="B342" t="s">
        <v>11</v>
      </c>
      <c r="C342" t="s">
        <v>17</v>
      </c>
      <c r="D342">
        <v>3</v>
      </c>
      <c r="E342" t="s">
        <v>22</v>
      </c>
      <c r="F342" t="s">
        <v>12</v>
      </c>
      <c r="G342" s="3">
        <v>2647</v>
      </c>
      <c r="H342" s="3">
        <v>1587</v>
      </c>
      <c r="I342" s="3">
        <v>173</v>
      </c>
      <c r="J342">
        <v>360</v>
      </c>
      <c r="K342">
        <v>1</v>
      </c>
      <c r="L342" t="s">
        <v>18</v>
      </c>
      <c r="M342" t="s">
        <v>19</v>
      </c>
      <c r="N342">
        <f t="shared" si="30"/>
        <v>4234</v>
      </c>
      <c r="O342" t="str">
        <f t="shared" si="31"/>
        <v>Medium</v>
      </c>
      <c r="P342" s="4">
        <f t="shared" si="32"/>
        <v>4.0859707132735006E-2</v>
      </c>
      <c r="Q342" t="str">
        <f t="shared" si="33"/>
        <v>Medium</v>
      </c>
      <c r="R342" s="19">
        <f t="shared" si="34"/>
        <v>0</v>
      </c>
      <c r="S342" t="str">
        <f t="shared" si="35"/>
        <v>2</v>
      </c>
    </row>
    <row r="343" spans="1:19" x14ac:dyDescent="0.25">
      <c r="A343" t="s">
        <v>362</v>
      </c>
      <c r="B343" t="s">
        <v>38</v>
      </c>
      <c r="C343" t="s">
        <v>12</v>
      </c>
      <c r="D343">
        <v>0</v>
      </c>
      <c r="E343" t="s">
        <v>13</v>
      </c>
      <c r="F343" t="s">
        <v>12</v>
      </c>
      <c r="G343" s="3">
        <v>2378</v>
      </c>
      <c r="H343" s="3">
        <v>0</v>
      </c>
      <c r="I343" s="3">
        <v>46</v>
      </c>
      <c r="J343">
        <v>360</v>
      </c>
      <c r="K343">
        <v>1</v>
      </c>
      <c r="L343" t="s">
        <v>18</v>
      </c>
      <c r="M343" t="s">
        <v>19</v>
      </c>
      <c r="N343">
        <f t="shared" si="30"/>
        <v>2378</v>
      </c>
      <c r="O343" t="str">
        <f t="shared" si="31"/>
        <v>Low</v>
      </c>
      <c r="P343" s="4">
        <f t="shared" si="32"/>
        <v>1.9343986543313711E-2</v>
      </c>
      <c r="Q343" t="str">
        <f t="shared" si="33"/>
        <v>Small</v>
      </c>
      <c r="R343" s="19">
        <f t="shared" si="34"/>
        <v>0</v>
      </c>
      <c r="S343" t="str">
        <f t="shared" si="35"/>
        <v>2</v>
      </c>
    </row>
    <row r="344" spans="1:19" x14ac:dyDescent="0.25">
      <c r="A344" t="s">
        <v>363</v>
      </c>
      <c r="B344" t="s">
        <v>11</v>
      </c>
      <c r="C344" t="s">
        <v>17</v>
      </c>
      <c r="D344">
        <v>1</v>
      </c>
      <c r="E344" t="s">
        <v>22</v>
      </c>
      <c r="F344" t="s">
        <v>12</v>
      </c>
      <c r="G344" s="3">
        <v>4554</v>
      </c>
      <c r="H344" s="3">
        <v>1229</v>
      </c>
      <c r="I344" s="3">
        <v>158</v>
      </c>
      <c r="J344">
        <v>360</v>
      </c>
      <c r="K344">
        <v>1</v>
      </c>
      <c r="L344" t="s">
        <v>14</v>
      </c>
      <c r="M344" t="s">
        <v>15</v>
      </c>
      <c r="N344">
        <f t="shared" si="30"/>
        <v>5783</v>
      </c>
      <c r="O344" t="str">
        <f t="shared" si="31"/>
        <v>Medium</v>
      </c>
      <c r="P344" s="4">
        <f t="shared" si="32"/>
        <v>2.7321459450112398E-2</v>
      </c>
      <c r="Q344" t="str">
        <f t="shared" si="33"/>
        <v>Medium</v>
      </c>
      <c r="R344" s="19">
        <f t="shared" si="34"/>
        <v>1</v>
      </c>
      <c r="S344" t="str">
        <f t="shared" si="35"/>
        <v>1</v>
      </c>
    </row>
    <row r="345" spans="1:19" x14ac:dyDescent="0.25">
      <c r="A345" t="s">
        <v>364</v>
      </c>
      <c r="B345" t="s">
        <v>11</v>
      </c>
      <c r="C345" t="s">
        <v>17</v>
      </c>
      <c r="D345">
        <v>3</v>
      </c>
      <c r="E345" t="s">
        <v>22</v>
      </c>
      <c r="F345" t="s">
        <v>12</v>
      </c>
      <c r="G345" s="3">
        <v>3173</v>
      </c>
      <c r="H345" s="3">
        <v>0</v>
      </c>
      <c r="I345" s="3">
        <v>74</v>
      </c>
      <c r="J345">
        <v>360</v>
      </c>
      <c r="K345">
        <v>1</v>
      </c>
      <c r="L345" t="s">
        <v>27</v>
      </c>
      <c r="M345" t="s">
        <v>15</v>
      </c>
      <c r="N345">
        <f t="shared" si="30"/>
        <v>3173</v>
      </c>
      <c r="O345" t="str">
        <f t="shared" si="31"/>
        <v>Low</v>
      </c>
      <c r="P345" s="4">
        <f t="shared" si="32"/>
        <v>2.3321777497636306E-2</v>
      </c>
      <c r="Q345" t="str">
        <f t="shared" si="33"/>
        <v>Small</v>
      </c>
      <c r="R345" s="19">
        <f t="shared" si="34"/>
        <v>1</v>
      </c>
      <c r="S345" t="str">
        <f t="shared" si="35"/>
        <v>3</v>
      </c>
    </row>
    <row r="346" spans="1:19" x14ac:dyDescent="0.25">
      <c r="A346" t="s">
        <v>365</v>
      </c>
      <c r="B346" t="s">
        <v>11</v>
      </c>
      <c r="C346" t="s">
        <v>17</v>
      </c>
      <c r="D346">
        <v>2</v>
      </c>
      <c r="E346" t="s">
        <v>13</v>
      </c>
      <c r="F346" t="s">
        <v>12</v>
      </c>
      <c r="G346" s="3">
        <v>2583</v>
      </c>
      <c r="H346" s="3">
        <v>2330</v>
      </c>
      <c r="I346" s="3">
        <v>125</v>
      </c>
      <c r="J346">
        <v>360</v>
      </c>
      <c r="K346">
        <v>1</v>
      </c>
      <c r="L346" t="s">
        <v>18</v>
      </c>
      <c r="M346" t="s">
        <v>15</v>
      </c>
      <c r="N346">
        <f t="shared" si="30"/>
        <v>4913</v>
      </c>
      <c r="O346" t="str">
        <f t="shared" si="31"/>
        <v>Medium</v>
      </c>
      <c r="P346" s="4">
        <f t="shared" si="32"/>
        <v>2.54427030327702E-2</v>
      </c>
      <c r="Q346" t="str">
        <f t="shared" si="33"/>
        <v>Medium</v>
      </c>
      <c r="R346" s="19">
        <f t="shared" si="34"/>
        <v>1</v>
      </c>
      <c r="S346" t="str">
        <f t="shared" si="35"/>
        <v>2</v>
      </c>
    </row>
    <row r="347" spans="1:19" x14ac:dyDescent="0.25">
      <c r="A347" t="s">
        <v>366</v>
      </c>
      <c r="B347" t="s">
        <v>11</v>
      </c>
      <c r="C347" t="s">
        <v>17</v>
      </c>
      <c r="D347">
        <v>0</v>
      </c>
      <c r="E347" t="s">
        <v>13</v>
      </c>
      <c r="F347" t="s">
        <v>12</v>
      </c>
      <c r="G347" s="3">
        <v>2499</v>
      </c>
      <c r="H347" s="3">
        <v>2458</v>
      </c>
      <c r="I347" s="3">
        <v>160</v>
      </c>
      <c r="J347">
        <v>360</v>
      </c>
      <c r="K347">
        <v>1</v>
      </c>
      <c r="L347" t="s">
        <v>27</v>
      </c>
      <c r="M347" t="s">
        <v>15</v>
      </c>
      <c r="N347">
        <f t="shared" si="30"/>
        <v>4957</v>
      </c>
      <c r="O347" t="str">
        <f t="shared" si="31"/>
        <v>Medium</v>
      </c>
      <c r="P347" s="4">
        <f t="shared" si="32"/>
        <v>3.2277587250353033E-2</v>
      </c>
      <c r="Q347" t="str">
        <f t="shared" si="33"/>
        <v>Medium</v>
      </c>
      <c r="R347" s="19">
        <f t="shared" si="34"/>
        <v>1</v>
      </c>
      <c r="S347" t="str">
        <f t="shared" si="35"/>
        <v>3</v>
      </c>
    </row>
    <row r="348" spans="1:19" x14ac:dyDescent="0.25">
      <c r="A348" t="s">
        <v>367</v>
      </c>
      <c r="B348" t="s">
        <v>11</v>
      </c>
      <c r="C348" t="s">
        <v>17</v>
      </c>
      <c r="D348">
        <v>0</v>
      </c>
      <c r="E348" t="s">
        <v>22</v>
      </c>
      <c r="F348" t="s">
        <v>12</v>
      </c>
      <c r="G348" s="3">
        <v>3523</v>
      </c>
      <c r="H348" s="3">
        <v>3230</v>
      </c>
      <c r="I348" s="3">
        <v>152</v>
      </c>
      <c r="J348">
        <v>360</v>
      </c>
      <c r="K348">
        <v>0</v>
      </c>
      <c r="L348" t="s">
        <v>18</v>
      </c>
      <c r="M348" t="s">
        <v>19</v>
      </c>
      <c r="N348">
        <f t="shared" si="30"/>
        <v>6753</v>
      </c>
      <c r="O348" t="str">
        <f t="shared" si="31"/>
        <v>Medium</v>
      </c>
      <c r="P348" s="4">
        <f t="shared" si="32"/>
        <v>2.2508514734192211E-2</v>
      </c>
      <c r="Q348" t="str">
        <f t="shared" si="33"/>
        <v>Medium</v>
      </c>
      <c r="R348" s="19">
        <f t="shared" si="34"/>
        <v>0</v>
      </c>
      <c r="S348" t="str">
        <f t="shared" si="35"/>
        <v>2</v>
      </c>
    </row>
    <row r="349" spans="1:19" x14ac:dyDescent="0.25">
      <c r="A349" t="s">
        <v>368</v>
      </c>
      <c r="B349" t="s">
        <v>11</v>
      </c>
      <c r="C349" t="s">
        <v>17</v>
      </c>
      <c r="D349">
        <v>2</v>
      </c>
      <c r="E349" t="s">
        <v>22</v>
      </c>
      <c r="F349" t="s">
        <v>12</v>
      </c>
      <c r="G349" s="3">
        <v>3083</v>
      </c>
      <c r="H349" s="3">
        <v>2168</v>
      </c>
      <c r="I349" s="3">
        <v>126</v>
      </c>
      <c r="J349">
        <v>360</v>
      </c>
      <c r="K349">
        <v>1</v>
      </c>
      <c r="L349" t="s">
        <v>14</v>
      </c>
      <c r="M349" t="s">
        <v>15</v>
      </c>
      <c r="N349">
        <f t="shared" si="30"/>
        <v>5251</v>
      </c>
      <c r="O349" t="str">
        <f t="shared" si="31"/>
        <v>Medium</v>
      </c>
      <c r="P349" s="4">
        <f t="shared" si="32"/>
        <v>2.3995429442011044E-2</v>
      </c>
      <c r="Q349" t="str">
        <f t="shared" si="33"/>
        <v>Medium</v>
      </c>
      <c r="R349" s="19">
        <f t="shared" si="34"/>
        <v>1</v>
      </c>
      <c r="S349" t="str">
        <f t="shared" si="35"/>
        <v>1</v>
      </c>
    </row>
    <row r="350" spans="1:19" x14ac:dyDescent="0.25">
      <c r="A350" t="s">
        <v>369</v>
      </c>
      <c r="B350" t="s">
        <v>11</v>
      </c>
      <c r="C350" t="s">
        <v>17</v>
      </c>
      <c r="D350">
        <v>0</v>
      </c>
      <c r="E350" t="s">
        <v>13</v>
      </c>
      <c r="F350" t="s">
        <v>12</v>
      </c>
      <c r="G350" s="3">
        <v>6333</v>
      </c>
      <c r="H350" s="3">
        <v>4583</v>
      </c>
      <c r="I350" s="3">
        <v>259</v>
      </c>
      <c r="J350">
        <v>360</v>
      </c>
      <c r="K350">
        <v>0</v>
      </c>
      <c r="L350" t="s">
        <v>27</v>
      </c>
      <c r="M350" t="s">
        <v>15</v>
      </c>
      <c r="N350">
        <f t="shared" si="30"/>
        <v>10916</v>
      </c>
      <c r="O350" t="str">
        <f t="shared" si="31"/>
        <v>High</v>
      </c>
      <c r="P350" s="4">
        <f t="shared" si="32"/>
        <v>2.3726639794796629E-2</v>
      </c>
      <c r="Q350" t="str">
        <f t="shared" si="33"/>
        <v>Large</v>
      </c>
      <c r="R350" s="19">
        <f t="shared" si="34"/>
        <v>1</v>
      </c>
      <c r="S350" t="str">
        <f t="shared" si="35"/>
        <v>3</v>
      </c>
    </row>
    <row r="351" spans="1:19" x14ac:dyDescent="0.25">
      <c r="A351" t="s">
        <v>370</v>
      </c>
      <c r="B351" t="s">
        <v>11</v>
      </c>
      <c r="C351" t="s">
        <v>17</v>
      </c>
      <c r="D351">
        <v>0</v>
      </c>
      <c r="E351" t="s">
        <v>13</v>
      </c>
      <c r="F351" t="s">
        <v>12</v>
      </c>
      <c r="G351" s="3">
        <v>2625</v>
      </c>
      <c r="H351" s="3">
        <v>6250</v>
      </c>
      <c r="I351" s="3">
        <v>187</v>
      </c>
      <c r="J351">
        <v>360</v>
      </c>
      <c r="K351">
        <v>1</v>
      </c>
      <c r="L351" t="s">
        <v>18</v>
      </c>
      <c r="M351" t="s">
        <v>15</v>
      </c>
      <c r="N351">
        <f t="shared" si="30"/>
        <v>8875</v>
      </c>
      <c r="O351" t="str">
        <f t="shared" si="31"/>
        <v>High</v>
      </c>
      <c r="P351" s="4">
        <f t="shared" si="32"/>
        <v>2.1070422535211266E-2</v>
      </c>
      <c r="Q351" t="str">
        <f t="shared" si="33"/>
        <v>Medium</v>
      </c>
      <c r="R351" s="19">
        <f t="shared" si="34"/>
        <v>1</v>
      </c>
      <c r="S351" t="str">
        <f t="shared" si="35"/>
        <v>2</v>
      </c>
    </row>
    <row r="352" spans="1:19" x14ac:dyDescent="0.25">
      <c r="A352" t="s">
        <v>371</v>
      </c>
      <c r="B352" t="s">
        <v>11</v>
      </c>
      <c r="C352" t="s">
        <v>17</v>
      </c>
      <c r="D352">
        <v>0</v>
      </c>
      <c r="E352" t="s">
        <v>13</v>
      </c>
      <c r="F352" t="s">
        <v>12</v>
      </c>
      <c r="G352" s="3">
        <v>9083</v>
      </c>
      <c r="H352" s="3">
        <v>0</v>
      </c>
      <c r="I352" s="3">
        <v>228</v>
      </c>
      <c r="J352">
        <v>360</v>
      </c>
      <c r="K352">
        <v>1</v>
      </c>
      <c r="L352" t="s">
        <v>27</v>
      </c>
      <c r="M352" t="s">
        <v>15</v>
      </c>
      <c r="N352">
        <f t="shared" si="30"/>
        <v>9083</v>
      </c>
      <c r="O352" t="str">
        <f t="shared" si="31"/>
        <v>High</v>
      </c>
      <c r="P352" s="4">
        <f t="shared" si="32"/>
        <v>2.5101838599581636E-2</v>
      </c>
      <c r="Q352" t="str">
        <f t="shared" si="33"/>
        <v>Large</v>
      </c>
      <c r="R352" s="19">
        <f t="shared" si="34"/>
        <v>1</v>
      </c>
      <c r="S352" t="str">
        <f t="shared" si="35"/>
        <v>3</v>
      </c>
    </row>
    <row r="353" spans="1:19" x14ac:dyDescent="0.25">
      <c r="A353" t="s">
        <v>372</v>
      </c>
      <c r="B353" t="s">
        <v>11</v>
      </c>
      <c r="C353" t="s">
        <v>12</v>
      </c>
      <c r="D353">
        <v>0</v>
      </c>
      <c r="E353" t="s">
        <v>13</v>
      </c>
      <c r="F353" t="s">
        <v>12</v>
      </c>
      <c r="G353" s="3">
        <v>8750</v>
      </c>
      <c r="H353" s="3">
        <v>4167</v>
      </c>
      <c r="I353" s="3">
        <v>308</v>
      </c>
      <c r="J353">
        <v>360</v>
      </c>
      <c r="K353">
        <v>1</v>
      </c>
      <c r="L353" t="s">
        <v>18</v>
      </c>
      <c r="M353" t="s">
        <v>19</v>
      </c>
      <c r="N353">
        <f t="shared" si="30"/>
        <v>12917</v>
      </c>
      <c r="O353" t="str">
        <f t="shared" si="31"/>
        <v>High</v>
      </c>
      <c r="P353" s="4">
        <f t="shared" si="32"/>
        <v>2.3844545947201364E-2</v>
      </c>
      <c r="Q353" t="str">
        <f t="shared" si="33"/>
        <v>Large</v>
      </c>
      <c r="R353" s="19">
        <f t="shared" si="34"/>
        <v>0</v>
      </c>
      <c r="S353" t="str">
        <f t="shared" si="35"/>
        <v>2</v>
      </c>
    </row>
    <row r="354" spans="1:19" x14ac:dyDescent="0.25">
      <c r="A354" t="s">
        <v>373</v>
      </c>
      <c r="B354" t="s">
        <v>11</v>
      </c>
      <c r="C354" t="s">
        <v>17</v>
      </c>
      <c r="D354">
        <v>3</v>
      </c>
      <c r="E354" t="s">
        <v>13</v>
      </c>
      <c r="F354" t="s">
        <v>12</v>
      </c>
      <c r="G354" s="3">
        <v>2666</v>
      </c>
      <c r="H354" s="3">
        <v>2083</v>
      </c>
      <c r="I354" s="3">
        <v>95</v>
      </c>
      <c r="J354">
        <v>360</v>
      </c>
      <c r="K354">
        <v>1</v>
      </c>
      <c r="L354" t="s">
        <v>18</v>
      </c>
      <c r="M354" t="s">
        <v>15</v>
      </c>
      <c r="N354">
        <f t="shared" si="30"/>
        <v>4749</v>
      </c>
      <c r="O354" t="str">
        <f t="shared" si="31"/>
        <v>Medium</v>
      </c>
      <c r="P354" s="4">
        <f t="shared" si="32"/>
        <v>2.0004211412929039E-2</v>
      </c>
      <c r="Q354" t="str">
        <f t="shared" si="33"/>
        <v>Small</v>
      </c>
      <c r="R354" s="19">
        <f t="shared" si="34"/>
        <v>1</v>
      </c>
      <c r="S354" t="str">
        <f t="shared" si="35"/>
        <v>2</v>
      </c>
    </row>
    <row r="355" spans="1:19" x14ac:dyDescent="0.25">
      <c r="A355" t="s">
        <v>374</v>
      </c>
      <c r="B355" t="s">
        <v>38</v>
      </c>
      <c r="C355" t="s">
        <v>17</v>
      </c>
      <c r="D355">
        <v>0</v>
      </c>
      <c r="E355" t="s">
        <v>13</v>
      </c>
      <c r="F355" t="s">
        <v>17</v>
      </c>
      <c r="G355" s="3">
        <v>5500</v>
      </c>
      <c r="H355" s="3">
        <v>0</v>
      </c>
      <c r="I355" s="3">
        <v>105</v>
      </c>
      <c r="J355">
        <v>360</v>
      </c>
      <c r="K355">
        <v>0</v>
      </c>
      <c r="L355" t="s">
        <v>18</v>
      </c>
      <c r="M355" t="s">
        <v>19</v>
      </c>
      <c r="N355">
        <f t="shared" si="30"/>
        <v>5500</v>
      </c>
      <c r="O355" t="str">
        <f t="shared" si="31"/>
        <v>Medium</v>
      </c>
      <c r="P355" s="4">
        <f t="shared" si="32"/>
        <v>1.9090909090909092E-2</v>
      </c>
      <c r="Q355" t="str">
        <f t="shared" si="33"/>
        <v>Medium</v>
      </c>
      <c r="R355" s="19">
        <f t="shared" si="34"/>
        <v>0</v>
      </c>
      <c r="S355" t="str">
        <f t="shared" si="35"/>
        <v>2</v>
      </c>
    </row>
    <row r="356" spans="1:19" x14ac:dyDescent="0.25">
      <c r="A356" t="s">
        <v>375</v>
      </c>
      <c r="B356" t="s">
        <v>38</v>
      </c>
      <c r="C356" t="s">
        <v>17</v>
      </c>
      <c r="D356">
        <v>0</v>
      </c>
      <c r="E356" t="s">
        <v>13</v>
      </c>
      <c r="F356" t="s">
        <v>12</v>
      </c>
      <c r="G356" s="3">
        <v>2423</v>
      </c>
      <c r="H356" s="3">
        <v>505</v>
      </c>
      <c r="I356" s="3">
        <v>130</v>
      </c>
      <c r="J356">
        <v>360</v>
      </c>
      <c r="K356">
        <v>1</v>
      </c>
      <c r="L356" t="s">
        <v>27</v>
      </c>
      <c r="M356" t="s">
        <v>15</v>
      </c>
      <c r="N356">
        <f t="shared" si="30"/>
        <v>2928</v>
      </c>
      <c r="O356" t="str">
        <f t="shared" si="31"/>
        <v>Low</v>
      </c>
      <c r="P356" s="4">
        <f t="shared" si="32"/>
        <v>4.4398907103825137E-2</v>
      </c>
      <c r="Q356" t="str">
        <f t="shared" si="33"/>
        <v>Medium</v>
      </c>
      <c r="R356" s="19">
        <f t="shared" si="34"/>
        <v>1</v>
      </c>
      <c r="S356" t="str">
        <f t="shared" si="35"/>
        <v>3</v>
      </c>
    </row>
    <row r="357" spans="1:19" x14ac:dyDescent="0.25">
      <c r="A357" t="s">
        <v>376</v>
      </c>
      <c r="B357" t="s">
        <v>38</v>
      </c>
      <c r="C357" t="s">
        <v>12</v>
      </c>
      <c r="D357">
        <v>0</v>
      </c>
      <c r="E357" t="s">
        <v>13</v>
      </c>
      <c r="F357" t="s">
        <v>12</v>
      </c>
      <c r="G357" s="3">
        <v>3813</v>
      </c>
      <c r="H357" s="3">
        <v>0</v>
      </c>
      <c r="I357" s="3">
        <v>116</v>
      </c>
      <c r="J357">
        <v>180</v>
      </c>
      <c r="K357">
        <v>1</v>
      </c>
      <c r="L357" t="s">
        <v>14</v>
      </c>
      <c r="M357" t="s">
        <v>15</v>
      </c>
      <c r="N357">
        <f t="shared" si="30"/>
        <v>3813</v>
      </c>
      <c r="O357" t="str">
        <f t="shared" si="31"/>
        <v>Low</v>
      </c>
      <c r="P357" s="4">
        <f t="shared" si="32"/>
        <v>3.042223970626803E-2</v>
      </c>
      <c r="Q357" t="str">
        <f t="shared" si="33"/>
        <v>Medium</v>
      </c>
      <c r="R357" s="19">
        <f t="shared" si="34"/>
        <v>1</v>
      </c>
      <c r="S357" t="str">
        <f t="shared" si="35"/>
        <v>1</v>
      </c>
    </row>
    <row r="358" spans="1:19" x14ac:dyDescent="0.25">
      <c r="A358" t="s">
        <v>377</v>
      </c>
      <c r="B358" t="s">
        <v>11</v>
      </c>
      <c r="C358" t="s">
        <v>17</v>
      </c>
      <c r="D358">
        <v>2</v>
      </c>
      <c r="E358" t="s">
        <v>13</v>
      </c>
      <c r="F358" t="s">
        <v>12</v>
      </c>
      <c r="G358" s="3">
        <v>8333</v>
      </c>
      <c r="H358" s="3">
        <v>3167</v>
      </c>
      <c r="I358" s="3">
        <v>165</v>
      </c>
      <c r="J358">
        <v>360</v>
      </c>
      <c r="K358">
        <v>1</v>
      </c>
      <c r="L358" t="s">
        <v>18</v>
      </c>
      <c r="M358" t="s">
        <v>15</v>
      </c>
      <c r="N358">
        <f t="shared" si="30"/>
        <v>11500</v>
      </c>
      <c r="O358" t="str">
        <f t="shared" si="31"/>
        <v>High</v>
      </c>
      <c r="P358" s="4">
        <f t="shared" si="32"/>
        <v>1.4347826086956521E-2</v>
      </c>
      <c r="Q358" t="str">
        <f t="shared" si="33"/>
        <v>Medium</v>
      </c>
      <c r="R358" s="19">
        <f t="shared" si="34"/>
        <v>1</v>
      </c>
      <c r="S358" t="str">
        <f t="shared" si="35"/>
        <v>2</v>
      </c>
    </row>
    <row r="359" spans="1:19" x14ac:dyDescent="0.25">
      <c r="A359" t="s">
        <v>378</v>
      </c>
      <c r="B359" t="s">
        <v>11</v>
      </c>
      <c r="C359" t="s">
        <v>17</v>
      </c>
      <c r="D359">
        <v>1</v>
      </c>
      <c r="E359" t="s">
        <v>13</v>
      </c>
      <c r="F359" t="s">
        <v>12</v>
      </c>
      <c r="G359" s="3">
        <v>3875</v>
      </c>
      <c r="H359" s="3">
        <v>0</v>
      </c>
      <c r="I359" s="3">
        <v>67</v>
      </c>
      <c r="J359">
        <v>360</v>
      </c>
      <c r="K359">
        <v>1</v>
      </c>
      <c r="L359" t="s">
        <v>14</v>
      </c>
      <c r="M359" t="s">
        <v>19</v>
      </c>
      <c r="N359">
        <f t="shared" si="30"/>
        <v>3875</v>
      </c>
      <c r="O359" t="str">
        <f t="shared" si="31"/>
        <v>Low</v>
      </c>
      <c r="P359" s="4">
        <f t="shared" si="32"/>
        <v>1.7290322580645161E-2</v>
      </c>
      <c r="Q359" t="str">
        <f t="shared" si="33"/>
        <v>Small</v>
      </c>
      <c r="R359" s="19">
        <f t="shared" si="34"/>
        <v>0</v>
      </c>
      <c r="S359" t="str">
        <f t="shared" si="35"/>
        <v>1</v>
      </c>
    </row>
    <row r="360" spans="1:19" x14ac:dyDescent="0.25">
      <c r="A360" t="s">
        <v>379</v>
      </c>
      <c r="B360" t="s">
        <v>11</v>
      </c>
      <c r="C360" t="s">
        <v>17</v>
      </c>
      <c r="D360">
        <v>0</v>
      </c>
      <c r="E360" t="s">
        <v>22</v>
      </c>
      <c r="F360" t="s">
        <v>12</v>
      </c>
      <c r="G360" s="3">
        <v>3000</v>
      </c>
      <c r="H360" s="3">
        <v>1666</v>
      </c>
      <c r="I360" s="3">
        <v>100</v>
      </c>
      <c r="J360">
        <v>480</v>
      </c>
      <c r="K360">
        <v>0</v>
      </c>
      <c r="L360" t="s">
        <v>14</v>
      </c>
      <c r="M360" t="s">
        <v>19</v>
      </c>
      <c r="N360">
        <f t="shared" si="30"/>
        <v>4666</v>
      </c>
      <c r="O360" t="str">
        <f t="shared" si="31"/>
        <v>Medium</v>
      </c>
      <c r="P360" s="4">
        <f t="shared" si="32"/>
        <v>2.1431633090441493E-2</v>
      </c>
      <c r="Q360" t="str">
        <f t="shared" si="33"/>
        <v>Medium</v>
      </c>
      <c r="R360" s="19">
        <f t="shared" si="34"/>
        <v>0</v>
      </c>
      <c r="S360" t="str">
        <f t="shared" si="35"/>
        <v>1</v>
      </c>
    </row>
    <row r="361" spans="1:19" x14ac:dyDescent="0.25">
      <c r="A361" t="s">
        <v>380</v>
      </c>
      <c r="B361" t="s">
        <v>11</v>
      </c>
      <c r="C361" t="s">
        <v>17</v>
      </c>
      <c r="D361">
        <v>3</v>
      </c>
      <c r="E361" t="s">
        <v>13</v>
      </c>
      <c r="F361" t="s">
        <v>12</v>
      </c>
      <c r="G361" s="3">
        <v>5167</v>
      </c>
      <c r="H361" s="3">
        <v>3167</v>
      </c>
      <c r="I361" s="3">
        <v>200</v>
      </c>
      <c r="J361">
        <v>360</v>
      </c>
      <c r="K361">
        <v>1</v>
      </c>
      <c r="L361" t="s">
        <v>27</v>
      </c>
      <c r="M361" t="s">
        <v>15</v>
      </c>
      <c r="N361">
        <f t="shared" si="30"/>
        <v>8334</v>
      </c>
      <c r="O361" t="str">
        <f t="shared" si="31"/>
        <v>High</v>
      </c>
      <c r="P361" s="4">
        <f t="shared" si="32"/>
        <v>2.3998080153587713E-2</v>
      </c>
      <c r="Q361" t="str">
        <f t="shared" si="33"/>
        <v>Large</v>
      </c>
      <c r="R361" s="19">
        <f t="shared" si="34"/>
        <v>1</v>
      </c>
      <c r="S361" t="str">
        <f t="shared" si="35"/>
        <v>3</v>
      </c>
    </row>
    <row r="362" spans="1:19" x14ac:dyDescent="0.25">
      <c r="A362" t="s">
        <v>381</v>
      </c>
      <c r="B362" t="s">
        <v>38</v>
      </c>
      <c r="C362" t="s">
        <v>12</v>
      </c>
      <c r="D362">
        <v>1</v>
      </c>
      <c r="E362" t="s">
        <v>13</v>
      </c>
      <c r="F362" t="s">
        <v>12</v>
      </c>
      <c r="G362" s="3">
        <v>4723</v>
      </c>
      <c r="H362" s="3">
        <v>0</v>
      </c>
      <c r="I362" s="3">
        <v>81</v>
      </c>
      <c r="J362">
        <v>360</v>
      </c>
      <c r="K362">
        <v>1</v>
      </c>
      <c r="L362" t="s">
        <v>27</v>
      </c>
      <c r="M362" t="s">
        <v>19</v>
      </c>
      <c r="N362">
        <f t="shared" si="30"/>
        <v>4723</v>
      </c>
      <c r="O362" t="str">
        <f t="shared" si="31"/>
        <v>Medium</v>
      </c>
      <c r="P362" s="4">
        <f t="shared" si="32"/>
        <v>1.7150116451408005E-2</v>
      </c>
      <c r="Q362" t="str">
        <f t="shared" si="33"/>
        <v>Small</v>
      </c>
      <c r="R362" s="19">
        <f t="shared" si="34"/>
        <v>0</v>
      </c>
      <c r="S362" t="str">
        <f t="shared" si="35"/>
        <v>3</v>
      </c>
    </row>
    <row r="363" spans="1:19" x14ac:dyDescent="0.25">
      <c r="A363" t="s">
        <v>382</v>
      </c>
      <c r="B363" t="s">
        <v>11</v>
      </c>
      <c r="C363" t="s">
        <v>17</v>
      </c>
      <c r="D363">
        <v>2</v>
      </c>
      <c r="E363" t="s">
        <v>13</v>
      </c>
      <c r="F363" t="s">
        <v>12</v>
      </c>
      <c r="G363" s="3">
        <v>5000</v>
      </c>
      <c r="H363" s="3">
        <v>3667</v>
      </c>
      <c r="I363" s="3">
        <v>236</v>
      </c>
      <c r="J363">
        <v>360</v>
      </c>
      <c r="K363">
        <v>1</v>
      </c>
      <c r="L363" t="s">
        <v>27</v>
      </c>
      <c r="M363" t="s">
        <v>15</v>
      </c>
      <c r="N363">
        <f t="shared" si="30"/>
        <v>8667</v>
      </c>
      <c r="O363" t="str">
        <f t="shared" si="31"/>
        <v>High</v>
      </c>
      <c r="P363" s="4">
        <f t="shared" si="32"/>
        <v>2.7229721933771777E-2</v>
      </c>
      <c r="Q363" t="str">
        <f t="shared" si="33"/>
        <v>Large</v>
      </c>
      <c r="R363" s="19">
        <f t="shared" si="34"/>
        <v>1</v>
      </c>
      <c r="S363" t="str">
        <f t="shared" si="35"/>
        <v>3</v>
      </c>
    </row>
    <row r="364" spans="1:19" x14ac:dyDescent="0.25">
      <c r="A364" t="s">
        <v>383</v>
      </c>
      <c r="B364" t="s">
        <v>11</v>
      </c>
      <c r="C364" t="s">
        <v>17</v>
      </c>
      <c r="D364">
        <v>0</v>
      </c>
      <c r="E364" t="s">
        <v>13</v>
      </c>
      <c r="F364" t="s">
        <v>12</v>
      </c>
      <c r="G364" s="3">
        <v>4750</v>
      </c>
      <c r="H364" s="3">
        <v>2333</v>
      </c>
      <c r="I364" s="3">
        <v>130</v>
      </c>
      <c r="J364">
        <v>360</v>
      </c>
      <c r="K364">
        <v>1</v>
      </c>
      <c r="L364" t="s">
        <v>14</v>
      </c>
      <c r="M364" t="s">
        <v>15</v>
      </c>
      <c r="N364">
        <f t="shared" si="30"/>
        <v>7083</v>
      </c>
      <c r="O364" t="str">
        <f t="shared" si="31"/>
        <v>Medium</v>
      </c>
      <c r="P364" s="4">
        <f t="shared" si="32"/>
        <v>1.8353804884935761E-2</v>
      </c>
      <c r="Q364" t="str">
        <f t="shared" si="33"/>
        <v>Medium</v>
      </c>
      <c r="R364" s="19">
        <f t="shared" si="34"/>
        <v>1</v>
      </c>
      <c r="S364" t="str">
        <f t="shared" si="35"/>
        <v>1</v>
      </c>
    </row>
    <row r="365" spans="1:19" x14ac:dyDescent="0.25">
      <c r="A365" t="s">
        <v>384</v>
      </c>
      <c r="B365" t="s">
        <v>11</v>
      </c>
      <c r="C365" t="s">
        <v>17</v>
      </c>
      <c r="D365">
        <v>0</v>
      </c>
      <c r="E365" t="s">
        <v>13</v>
      </c>
      <c r="F365" t="s">
        <v>12</v>
      </c>
      <c r="G365" s="3">
        <v>3013</v>
      </c>
      <c r="H365" s="3">
        <v>3033</v>
      </c>
      <c r="I365" s="3">
        <v>95</v>
      </c>
      <c r="J365">
        <v>300</v>
      </c>
      <c r="K365">
        <v>1</v>
      </c>
      <c r="L365" t="s">
        <v>14</v>
      </c>
      <c r="M365" t="s">
        <v>15</v>
      </c>
      <c r="N365">
        <f t="shared" si="30"/>
        <v>6046</v>
      </c>
      <c r="O365" t="str">
        <f t="shared" si="31"/>
        <v>Medium</v>
      </c>
      <c r="P365" s="4">
        <f t="shared" si="32"/>
        <v>1.5712868011908701E-2</v>
      </c>
      <c r="Q365" t="str">
        <f t="shared" si="33"/>
        <v>Small</v>
      </c>
      <c r="R365" s="19">
        <f t="shared" si="34"/>
        <v>1</v>
      </c>
      <c r="S365" t="str">
        <f t="shared" si="35"/>
        <v>1</v>
      </c>
    </row>
    <row r="366" spans="1:19" x14ac:dyDescent="0.25">
      <c r="A366" t="s">
        <v>385</v>
      </c>
      <c r="B366" t="s">
        <v>11</v>
      </c>
      <c r="C366" t="s">
        <v>12</v>
      </c>
      <c r="D366">
        <v>0</v>
      </c>
      <c r="E366" t="s">
        <v>13</v>
      </c>
      <c r="F366" t="s">
        <v>17</v>
      </c>
      <c r="G366" s="3">
        <v>6822</v>
      </c>
      <c r="H366" s="3">
        <v>0</v>
      </c>
      <c r="I366" s="3">
        <v>141</v>
      </c>
      <c r="J366">
        <v>360</v>
      </c>
      <c r="K366">
        <v>1</v>
      </c>
      <c r="L366" t="s">
        <v>18</v>
      </c>
      <c r="M366" t="s">
        <v>15</v>
      </c>
      <c r="N366">
        <f t="shared" si="30"/>
        <v>6822</v>
      </c>
      <c r="O366" t="str">
        <f t="shared" si="31"/>
        <v>Medium</v>
      </c>
      <c r="P366" s="4">
        <f t="shared" si="32"/>
        <v>2.0668425681618294E-2</v>
      </c>
      <c r="Q366" t="str">
        <f t="shared" si="33"/>
        <v>Medium</v>
      </c>
      <c r="R366" s="19">
        <f t="shared" si="34"/>
        <v>1</v>
      </c>
      <c r="S366" t="str">
        <f t="shared" si="35"/>
        <v>2</v>
      </c>
    </row>
    <row r="367" spans="1:19" x14ac:dyDescent="0.25">
      <c r="A367" t="s">
        <v>386</v>
      </c>
      <c r="B367" t="s">
        <v>11</v>
      </c>
      <c r="C367" t="s">
        <v>12</v>
      </c>
      <c r="D367">
        <v>0</v>
      </c>
      <c r="E367" t="s">
        <v>22</v>
      </c>
      <c r="F367" t="s">
        <v>12</v>
      </c>
      <c r="G367" s="3">
        <v>6216</v>
      </c>
      <c r="H367" s="3">
        <v>0</v>
      </c>
      <c r="I367" s="3">
        <v>133</v>
      </c>
      <c r="J367">
        <v>360</v>
      </c>
      <c r="K367">
        <v>1</v>
      </c>
      <c r="L367" t="s">
        <v>18</v>
      </c>
      <c r="M367" t="s">
        <v>19</v>
      </c>
      <c r="N367">
        <f t="shared" si="30"/>
        <v>6216</v>
      </c>
      <c r="O367" t="str">
        <f t="shared" si="31"/>
        <v>Medium</v>
      </c>
      <c r="P367" s="4">
        <f t="shared" si="32"/>
        <v>2.1396396396396396E-2</v>
      </c>
      <c r="Q367" t="str">
        <f t="shared" si="33"/>
        <v>Medium</v>
      </c>
      <c r="R367" s="19">
        <f t="shared" si="34"/>
        <v>0</v>
      </c>
      <c r="S367" t="str">
        <f t="shared" si="35"/>
        <v>2</v>
      </c>
    </row>
    <row r="368" spans="1:19" x14ac:dyDescent="0.25">
      <c r="A368" t="s">
        <v>387</v>
      </c>
      <c r="B368" t="s">
        <v>11</v>
      </c>
      <c r="C368" t="s">
        <v>12</v>
      </c>
      <c r="D368">
        <v>0</v>
      </c>
      <c r="E368" t="s">
        <v>13</v>
      </c>
      <c r="F368" t="s">
        <v>12</v>
      </c>
      <c r="G368" s="3">
        <v>2500</v>
      </c>
      <c r="H368" s="3">
        <v>0</v>
      </c>
      <c r="I368" s="3">
        <v>96</v>
      </c>
      <c r="J368">
        <v>480</v>
      </c>
      <c r="K368">
        <v>1</v>
      </c>
      <c r="L368" t="s">
        <v>27</v>
      </c>
      <c r="M368" t="s">
        <v>19</v>
      </c>
      <c r="N368">
        <f t="shared" si="30"/>
        <v>2500</v>
      </c>
      <c r="O368" t="str">
        <f t="shared" si="31"/>
        <v>Low</v>
      </c>
      <c r="P368" s="4">
        <f t="shared" si="32"/>
        <v>3.8399999999999997E-2</v>
      </c>
      <c r="Q368" t="str">
        <f t="shared" si="33"/>
        <v>Small</v>
      </c>
      <c r="R368" s="19">
        <f t="shared" si="34"/>
        <v>0</v>
      </c>
      <c r="S368" t="str">
        <f t="shared" si="35"/>
        <v>3</v>
      </c>
    </row>
    <row r="369" spans="1:19" x14ac:dyDescent="0.25">
      <c r="A369" t="s">
        <v>388</v>
      </c>
      <c r="B369" t="s">
        <v>11</v>
      </c>
      <c r="C369" t="s">
        <v>12</v>
      </c>
      <c r="D369">
        <v>0</v>
      </c>
      <c r="E369" t="s">
        <v>13</v>
      </c>
      <c r="F369" t="s">
        <v>12</v>
      </c>
      <c r="G369" s="3">
        <v>5124</v>
      </c>
      <c r="H369" s="3">
        <v>0</v>
      </c>
      <c r="I369" s="3">
        <v>124</v>
      </c>
      <c r="J369">
        <v>360</v>
      </c>
      <c r="K369">
        <v>0</v>
      </c>
      <c r="L369" t="s">
        <v>18</v>
      </c>
      <c r="M369" t="s">
        <v>19</v>
      </c>
      <c r="N369">
        <f t="shared" si="30"/>
        <v>5124</v>
      </c>
      <c r="O369" t="str">
        <f t="shared" si="31"/>
        <v>Medium</v>
      </c>
      <c r="P369" s="4">
        <f t="shared" si="32"/>
        <v>2.4199843871975019E-2</v>
      </c>
      <c r="Q369" t="str">
        <f t="shared" si="33"/>
        <v>Medium</v>
      </c>
      <c r="R369" s="19">
        <f t="shared" si="34"/>
        <v>0</v>
      </c>
      <c r="S369" t="str">
        <f t="shared" si="35"/>
        <v>2</v>
      </c>
    </row>
    <row r="370" spans="1:19" x14ac:dyDescent="0.25">
      <c r="A370" t="s">
        <v>389</v>
      </c>
      <c r="B370" t="s">
        <v>11</v>
      </c>
      <c r="C370" t="s">
        <v>17</v>
      </c>
      <c r="D370">
        <v>1</v>
      </c>
      <c r="E370" t="s">
        <v>13</v>
      </c>
      <c r="F370" t="s">
        <v>12</v>
      </c>
      <c r="G370" s="3">
        <v>6325</v>
      </c>
      <c r="H370" s="3">
        <v>0</v>
      </c>
      <c r="I370" s="3">
        <v>175</v>
      </c>
      <c r="J370">
        <v>360</v>
      </c>
      <c r="K370">
        <v>1</v>
      </c>
      <c r="L370" t="s">
        <v>27</v>
      </c>
      <c r="M370" t="s">
        <v>15</v>
      </c>
      <c r="N370">
        <f t="shared" si="30"/>
        <v>6325</v>
      </c>
      <c r="O370" t="str">
        <f t="shared" si="31"/>
        <v>Medium</v>
      </c>
      <c r="P370" s="4">
        <f t="shared" si="32"/>
        <v>2.766798418972332E-2</v>
      </c>
      <c r="Q370" t="str">
        <f t="shared" si="33"/>
        <v>Medium</v>
      </c>
      <c r="R370" s="19">
        <f t="shared" si="34"/>
        <v>1</v>
      </c>
      <c r="S370" t="str">
        <f t="shared" si="35"/>
        <v>3</v>
      </c>
    </row>
    <row r="371" spans="1:19" x14ac:dyDescent="0.25">
      <c r="A371" t="s">
        <v>390</v>
      </c>
      <c r="B371" t="s">
        <v>11</v>
      </c>
      <c r="C371" t="s">
        <v>17</v>
      </c>
      <c r="D371">
        <v>0</v>
      </c>
      <c r="E371" t="s">
        <v>13</v>
      </c>
      <c r="F371" t="s">
        <v>12</v>
      </c>
      <c r="G371" s="3">
        <v>19730</v>
      </c>
      <c r="H371" s="3">
        <v>5266</v>
      </c>
      <c r="I371" s="3">
        <v>570</v>
      </c>
      <c r="J371">
        <v>360</v>
      </c>
      <c r="K371">
        <v>1</v>
      </c>
      <c r="L371" t="s">
        <v>18</v>
      </c>
      <c r="M371" t="s">
        <v>19</v>
      </c>
      <c r="N371">
        <f t="shared" si="30"/>
        <v>24996</v>
      </c>
      <c r="O371" t="str">
        <f t="shared" si="31"/>
        <v>High</v>
      </c>
      <c r="P371" s="4">
        <f t="shared" si="32"/>
        <v>2.2803648583773404E-2</v>
      </c>
      <c r="Q371" t="str">
        <f t="shared" si="33"/>
        <v>Large</v>
      </c>
      <c r="R371" s="19">
        <f t="shared" si="34"/>
        <v>0</v>
      </c>
      <c r="S371" t="str">
        <f t="shared" si="35"/>
        <v>2</v>
      </c>
    </row>
    <row r="372" spans="1:19" x14ac:dyDescent="0.25">
      <c r="A372" t="s">
        <v>391</v>
      </c>
      <c r="B372" t="s">
        <v>38</v>
      </c>
      <c r="C372" t="s">
        <v>12</v>
      </c>
      <c r="D372">
        <v>0</v>
      </c>
      <c r="E372" t="s">
        <v>13</v>
      </c>
      <c r="F372" t="s">
        <v>17</v>
      </c>
      <c r="G372" s="3">
        <v>15759</v>
      </c>
      <c r="H372" s="3">
        <v>0</v>
      </c>
      <c r="I372" s="3">
        <v>55</v>
      </c>
      <c r="J372">
        <v>360</v>
      </c>
      <c r="K372">
        <v>1</v>
      </c>
      <c r="L372" t="s">
        <v>27</v>
      </c>
      <c r="M372" t="s">
        <v>15</v>
      </c>
      <c r="N372">
        <f t="shared" si="30"/>
        <v>15759</v>
      </c>
      <c r="O372" t="str">
        <f t="shared" si="31"/>
        <v>High</v>
      </c>
      <c r="P372" s="4">
        <f t="shared" si="32"/>
        <v>3.4900691668253063E-3</v>
      </c>
      <c r="Q372" t="str">
        <f t="shared" si="33"/>
        <v>Small</v>
      </c>
      <c r="R372" s="19">
        <f t="shared" si="34"/>
        <v>1</v>
      </c>
      <c r="S372" t="str">
        <f t="shared" si="35"/>
        <v>3</v>
      </c>
    </row>
    <row r="373" spans="1:19" x14ac:dyDescent="0.25">
      <c r="A373" t="s">
        <v>392</v>
      </c>
      <c r="B373" t="s">
        <v>11</v>
      </c>
      <c r="C373" t="s">
        <v>17</v>
      </c>
      <c r="D373">
        <v>2</v>
      </c>
      <c r="E373" t="s">
        <v>13</v>
      </c>
      <c r="F373" t="s">
        <v>12</v>
      </c>
      <c r="G373" s="3">
        <v>5185</v>
      </c>
      <c r="H373" s="3">
        <v>0</v>
      </c>
      <c r="I373" s="3">
        <v>155</v>
      </c>
      <c r="J373">
        <v>360</v>
      </c>
      <c r="K373">
        <v>1</v>
      </c>
      <c r="L373" t="s">
        <v>27</v>
      </c>
      <c r="M373" t="s">
        <v>15</v>
      </c>
      <c r="N373">
        <f t="shared" si="30"/>
        <v>5185</v>
      </c>
      <c r="O373" t="str">
        <f t="shared" si="31"/>
        <v>Medium</v>
      </c>
      <c r="P373" s="4">
        <f t="shared" si="32"/>
        <v>2.9893924783027964E-2</v>
      </c>
      <c r="Q373" t="str">
        <f t="shared" si="33"/>
        <v>Medium</v>
      </c>
      <c r="R373" s="19">
        <f t="shared" si="34"/>
        <v>1</v>
      </c>
      <c r="S373" t="str">
        <f t="shared" si="35"/>
        <v>3</v>
      </c>
    </row>
    <row r="374" spans="1:19" x14ac:dyDescent="0.25">
      <c r="A374" t="s">
        <v>393</v>
      </c>
      <c r="B374" t="s">
        <v>11</v>
      </c>
      <c r="C374" t="s">
        <v>17</v>
      </c>
      <c r="D374">
        <v>2</v>
      </c>
      <c r="E374" t="s">
        <v>13</v>
      </c>
      <c r="F374" t="s">
        <v>17</v>
      </c>
      <c r="G374" s="3">
        <v>9323</v>
      </c>
      <c r="H374" s="3">
        <v>7873</v>
      </c>
      <c r="I374" s="3">
        <v>380</v>
      </c>
      <c r="J374">
        <v>300</v>
      </c>
      <c r="K374">
        <v>1</v>
      </c>
      <c r="L374" t="s">
        <v>18</v>
      </c>
      <c r="M374" t="s">
        <v>15</v>
      </c>
      <c r="N374">
        <f t="shared" si="30"/>
        <v>17196</v>
      </c>
      <c r="O374" t="str">
        <f t="shared" si="31"/>
        <v>High</v>
      </c>
      <c r="P374" s="4">
        <f t="shared" si="32"/>
        <v>2.209816236334031E-2</v>
      </c>
      <c r="Q374" t="str">
        <f t="shared" si="33"/>
        <v>Large</v>
      </c>
      <c r="R374" s="19">
        <f t="shared" si="34"/>
        <v>1</v>
      </c>
      <c r="S374" t="str">
        <f t="shared" si="35"/>
        <v>2</v>
      </c>
    </row>
    <row r="375" spans="1:19" x14ac:dyDescent="0.25">
      <c r="A375" t="s">
        <v>394</v>
      </c>
      <c r="B375" t="s">
        <v>11</v>
      </c>
      <c r="C375" t="s">
        <v>12</v>
      </c>
      <c r="D375">
        <v>1</v>
      </c>
      <c r="E375" t="s">
        <v>13</v>
      </c>
      <c r="F375" t="s">
        <v>12</v>
      </c>
      <c r="G375" s="3">
        <v>3062</v>
      </c>
      <c r="H375" s="3">
        <v>1987</v>
      </c>
      <c r="I375" s="3">
        <v>111</v>
      </c>
      <c r="J375">
        <v>180</v>
      </c>
      <c r="K375">
        <v>0</v>
      </c>
      <c r="L375" t="s">
        <v>14</v>
      </c>
      <c r="M375" t="s">
        <v>19</v>
      </c>
      <c r="N375">
        <f t="shared" si="30"/>
        <v>5049</v>
      </c>
      <c r="O375" t="str">
        <f t="shared" si="31"/>
        <v>Medium</v>
      </c>
      <c r="P375" s="4">
        <f t="shared" si="32"/>
        <v>2.1984551396316103E-2</v>
      </c>
      <c r="Q375" t="str">
        <f t="shared" si="33"/>
        <v>Medium</v>
      </c>
      <c r="R375" s="19">
        <f t="shared" si="34"/>
        <v>0</v>
      </c>
      <c r="S375" t="str">
        <f t="shared" si="35"/>
        <v>1</v>
      </c>
    </row>
    <row r="376" spans="1:19" x14ac:dyDescent="0.25">
      <c r="A376" t="s">
        <v>395</v>
      </c>
      <c r="B376" t="s">
        <v>38</v>
      </c>
      <c r="C376" t="s">
        <v>12</v>
      </c>
      <c r="D376">
        <v>0</v>
      </c>
      <c r="E376" t="s">
        <v>13</v>
      </c>
      <c r="F376" t="s">
        <v>12</v>
      </c>
      <c r="G376" s="3">
        <v>2764</v>
      </c>
      <c r="H376" s="3">
        <v>1459</v>
      </c>
      <c r="I376" s="3">
        <v>110</v>
      </c>
      <c r="J376">
        <v>360</v>
      </c>
      <c r="K376">
        <v>1</v>
      </c>
      <c r="L376" t="s">
        <v>14</v>
      </c>
      <c r="M376" t="s">
        <v>15</v>
      </c>
      <c r="N376">
        <f t="shared" si="30"/>
        <v>4223</v>
      </c>
      <c r="O376" t="str">
        <f t="shared" si="31"/>
        <v>Medium</v>
      </c>
      <c r="P376" s="4">
        <f t="shared" si="32"/>
        <v>2.604783329386692E-2</v>
      </c>
      <c r="Q376" t="str">
        <f t="shared" si="33"/>
        <v>Medium</v>
      </c>
      <c r="R376" s="19">
        <f t="shared" si="34"/>
        <v>1</v>
      </c>
      <c r="S376" t="str">
        <f t="shared" si="35"/>
        <v>1</v>
      </c>
    </row>
    <row r="377" spans="1:19" x14ac:dyDescent="0.25">
      <c r="A377" t="s">
        <v>396</v>
      </c>
      <c r="B377" t="s">
        <v>11</v>
      </c>
      <c r="C377" t="s">
        <v>17</v>
      </c>
      <c r="D377">
        <v>0</v>
      </c>
      <c r="E377" t="s">
        <v>13</v>
      </c>
      <c r="F377" t="s">
        <v>12</v>
      </c>
      <c r="G377" s="3">
        <v>4817</v>
      </c>
      <c r="H377" s="3">
        <v>923</v>
      </c>
      <c r="I377" s="3">
        <v>120</v>
      </c>
      <c r="J377">
        <v>180</v>
      </c>
      <c r="K377">
        <v>1</v>
      </c>
      <c r="L377" t="s">
        <v>14</v>
      </c>
      <c r="M377" t="s">
        <v>15</v>
      </c>
      <c r="N377">
        <f t="shared" si="30"/>
        <v>5740</v>
      </c>
      <c r="O377" t="str">
        <f t="shared" si="31"/>
        <v>Medium</v>
      </c>
      <c r="P377" s="4">
        <f t="shared" si="32"/>
        <v>2.0905923344947737E-2</v>
      </c>
      <c r="Q377" t="str">
        <f t="shared" si="33"/>
        <v>Medium</v>
      </c>
      <c r="R377" s="19">
        <f t="shared" si="34"/>
        <v>1</v>
      </c>
      <c r="S377" t="str">
        <f t="shared" si="35"/>
        <v>1</v>
      </c>
    </row>
    <row r="378" spans="1:19" x14ac:dyDescent="0.25">
      <c r="A378" t="s">
        <v>397</v>
      </c>
      <c r="B378" t="s">
        <v>11</v>
      </c>
      <c r="C378" t="s">
        <v>17</v>
      </c>
      <c r="D378">
        <v>3</v>
      </c>
      <c r="E378" t="s">
        <v>13</v>
      </c>
      <c r="F378" t="s">
        <v>12</v>
      </c>
      <c r="G378" s="3">
        <v>8750</v>
      </c>
      <c r="H378" s="3">
        <v>4996</v>
      </c>
      <c r="I378" s="3">
        <v>130</v>
      </c>
      <c r="J378">
        <v>360</v>
      </c>
      <c r="K378">
        <v>1</v>
      </c>
      <c r="L378" t="s">
        <v>18</v>
      </c>
      <c r="M378" t="s">
        <v>15</v>
      </c>
      <c r="N378">
        <f t="shared" si="30"/>
        <v>13746</v>
      </c>
      <c r="O378" t="str">
        <f t="shared" si="31"/>
        <v>High</v>
      </c>
      <c r="P378" s="4">
        <f t="shared" si="32"/>
        <v>9.4572966681216349E-3</v>
      </c>
      <c r="Q378" t="str">
        <f t="shared" si="33"/>
        <v>Medium</v>
      </c>
      <c r="R378" s="19">
        <f t="shared" si="34"/>
        <v>1</v>
      </c>
      <c r="S378" t="str">
        <f t="shared" si="35"/>
        <v>2</v>
      </c>
    </row>
    <row r="379" spans="1:19" x14ac:dyDescent="0.25">
      <c r="A379" t="s">
        <v>398</v>
      </c>
      <c r="B379" t="s">
        <v>11</v>
      </c>
      <c r="C379" t="s">
        <v>17</v>
      </c>
      <c r="D379">
        <v>0</v>
      </c>
      <c r="E379" t="s">
        <v>13</v>
      </c>
      <c r="F379" t="s">
        <v>12</v>
      </c>
      <c r="G379" s="3">
        <v>4310</v>
      </c>
      <c r="H379" s="3">
        <v>0</v>
      </c>
      <c r="I379" s="3">
        <v>130</v>
      </c>
      <c r="J379">
        <v>360</v>
      </c>
      <c r="K379">
        <v>0</v>
      </c>
      <c r="L379" t="s">
        <v>27</v>
      </c>
      <c r="M379" t="s">
        <v>15</v>
      </c>
      <c r="N379">
        <f t="shared" si="30"/>
        <v>4310</v>
      </c>
      <c r="O379" t="str">
        <f t="shared" si="31"/>
        <v>Medium</v>
      </c>
      <c r="P379" s="4">
        <f t="shared" si="32"/>
        <v>3.0162412993039442E-2</v>
      </c>
      <c r="Q379" t="str">
        <f t="shared" si="33"/>
        <v>Medium</v>
      </c>
      <c r="R379" s="19">
        <f t="shared" si="34"/>
        <v>1</v>
      </c>
      <c r="S379" t="str">
        <f t="shared" si="35"/>
        <v>3</v>
      </c>
    </row>
    <row r="380" spans="1:19" x14ac:dyDescent="0.25">
      <c r="A380" t="s">
        <v>399</v>
      </c>
      <c r="B380" t="s">
        <v>11</v>
      </c>
      <c r="C380" t="s">
        <v>12</v>
      </c>
      <c r="D380">
        <v>0</v>
      </c>
      <c r="E380" t="s">
        <v>13</v>
      </c>
      <c r="F380" t="s">
        <v>12</v>
      </c>
      <c r="G380" s="3">
        <v>3069</v>
      </c>
      <c r="H380" s="3">
        <v>0</v>
      </c>
      <c r="I380" s="3">
        <v>71</v>
      </c>
      <c r="J380">
        <v>480</v>
      </c>
      <c r="K380">
        <v>1</v>
      </c>
      <c r="L380" t="s">
        <v>14</v>
      </c>
      <c r="M380" t="s">
        <v>19</v>
      </c>
      <c r="N380">
        <f t="shared" si="30"/>
        <v>3069</v>
      </c>
      <c r="O380" t="str">
        <f t="shared" si="31"/>
        <v>Low</v>
      </c>
      <c r="P380" s="4">
        <f t="shared" si="32"/>
        <v>2.3134571521668295E-2</v>
      </c>
      <c r="Q380" t="str">
        <f t="shared" si="33"/>
        <v>Small</v>
      </c>
      <c r="R380" s="19">
        <f t="shared" si="34"/>
        <v>0</v>
      </c>
      <c r="S380" t="str">
        <f t="shared" si="35"/>
        <v>1</v>
      </c>
    </row>
    <row r="381" spans="1:19" x14ac:dyDescent="0.25">
      <c r="A381" t="s">
        <v>400</v>
      </c>
      <c r="B381" t="s">
        <v>11</v>
      </c>
      <c r="C381" t="s">
        <v>17</v>
      </c>
      <c r="D381">
        <v>2</v>
      </c>
      <c r="E381" t="s">
        <v>13</v>
      </c>
      <c r="F381" t="s">
        <v>12</v>
      </c>
      <c r="G381" s="3">
        <v>5391</v>
      </c>
      <c r="H381" s="3">
        <v>0</v>
      </c>
      <c r="I381" s="3">
        <v>130</v>
      </c>
      <c r="J381">
        <v>360</v>
      </c>
      <c r="K381">
        <v>1</v>
      </c>
      <c r="L381" t="s">
        <v>14</v>
      </c>
      <c r="M381" t="s">
        <v>15</v>
      </c>
      <c r="N381">
        <f t="shared" si="30"/>
        <v>5391</v>
      </c>
      <c r="O381" t="str">
        <f t="shared" si="31"/>
        <v>Medium</v>
      </c>
      <c r="P381" s="4">
        <f t="shared" si="32"/>
        <v>2.4114264514932295E-2</v>
      </c>
      <c r="Q381" t="str">
        <f t="shared" si="33"/>
        <v>Medium</v>
      </c>
      <c r="R381" s="19">
        <f t="shared" si="34"/>
        <v>1</v>
      </c>
      <c r="S381" t="str">
        <f t="shared" si="35"/>
        <v>1</v>
      </c>
    </row>
    <row r="382" spans="1:19" x14ac:dyDescent="0.25">
      <c r="A382" t="s">
        <v>401</v>
      </c>
      <c r="B382" t="s">
        <v>11</v>
      </c>
      <c r="C382" t="s">
        <v>17</v>
      </c>
      <c r="D382">
        <v>0</v>
      </c>
      <c r="E382" t="s">
        <v>13</v>
      </c>
      <c r="F382" t="s">
        <v>12</v>
      </c>
      <c r="G382" s="3">
        <v>3333</v>
      </c>
      <c r="H382" s="3">
        <v>2500</v>
      </c>
      <c r="I382" s="3">
        <v>128</v>
      </c>
      <c r="J382">
        <v>360</v>
      </c>
      <c r="K382">
        <v>1</v>
      </c>
      <c r="L382" t="s">
        <v>27</v>
      </c>
      <c r="M382" t="s">
        <v>15</v>
      </c>
      <c r="N382">
        <f t="shared" si="30"/>
        <v>5833</v>
      </c>
      <c r="O382" t="str">
        <f t="shared" si="31"/>
        <v>Medium</v>
      </c>
      <c r="P382" s="4">
        <f t="shared" si="32"/>
        <v>2.1944111092062405E-2</v>
      </c>
      <c r="Q382" t="str">
        <f t="shared" si="33"/>
        <v>Medium</v>
      </c>
      <c r="R382" s="19">
        <f t="shared" si="34"/>
        <v>1</v>
      </c>
      <c r="S382" t="str">
        <f t="shared" si="35"/>
        <v>3</v>
      </c>
    </row>
    <row r="383" spans="1:19" x14ac:dyDescent="0.25">
      <c r="A383" t="s">
        <v>402</v>
      </c>
      <c r="B383" t="s">
        <v>11</v>
      </c>
      <c r="C383" t="s">
        <v>12</v>
      </c>
      <c r="D383">
        <v>0</v>
      </c>
      <c r="E383" t="s">
        <v>13</v>
      </c>
      <c r="F383" t="s">
        <v>12</v>
      </c>
      <c r="G383" s="3">
        <v>5941</v>
      </c>
      <c r="H383" s="3">
        <v>4232</v>
      </c>
      <c r="I383" s="3">
        <v>296</v>
      </c>
      <c r="J383">
        <v>360</v>
      </c>
      <c r="K383">
        <v>1</v>
      </c>
      <c r="L383" t="s">
        <v>27</v>
      </c>
      <c r="M383" t="s">
        <v>15</v>
      </c>
      <c r="N383">
        <f t="shared" si="30"/>
        <v>10173</v>
      </c>
      <c r="O383" t="str">
        <f t="shared" si="31"/>
        <v>High</v>
      </c>
      <c r="P383" s="4">
        <f t="shared" si="32"/>
        <v>2.9096628329892852E-2</v>
      </c>
      <c r="Q383" t="str">
        <f t="shared" si="33"/>
        <v>Large</v>
      </c>
      <c r="R383" s="19">
        <f t="shared" si="34"/>
        <v>1</v>
      </c>
      <c r="S383" t="str">
        <f t="shared" si="35"/>
        <v>3</v>
      </c>
    </row>
    <row r="384" spans="1:19" x14ac:dyDescent="0.25">
      <c r="A384" t="s">
        <v>403</v>
      </c>
      <c r="B384" t="s">
        <v>38</v>
      </c>
      <c r="C384" t="s">
        <v>12</v>
      </c>
      <c r="D384">
        <v>0</v>
      </c>
      <c r="E384" t="s">
        <v>13</v>
      </c>
      <c r="F384" t="s">
        <v>12</v>
      </c>
      <c r="G384" s="3">
        <v>6000</v>
      </c>
      <c r="H384" s="3">
        <v>0</v>
      </c>
      <c r="I384" s="3">
        <v>156</v>
      </c>
      <c r="J384">
        <v>360</v>
      </c>
      <c r="K384">
        <v>1</v>
      </c>
      <c r="L384" t="s">
        <v>14</v>
      </c>
      <c r="M384" t="s">
        <v>15</v>
      </c>
      <c r="N384">
        <f t="shared" si="30"/>
        <v>6000</v>
      </c>
      <c r="O384" t="str">
        <f t="shared" si="31"/>
        <v>Medium</v>
      </c>
      <c r="P384" s="4">
        <f t="shared" si="32"/>
        <v>2.5999999999999999E-2</v>
      </c>
      <c r="Q384" t="str">
        <f t="shared" si="33"/>
        <v>Medium</v>
      </c>
      <c r="R384" s="19">
        <f t="shared" si="34"/>
        <v>1</v>
      </c>
      <c r="S384" t="str">
        <f t="shared" si="35"/>
        <v>1</v>
      </c>
    </row>
    <row r="385" spans="1:19" x14ac:dyDescent="0.25">
      <c r="A385" t="s">
        <v>404</v>
      </c>
      <c r="B385" t="s">
        <v>11</v>
      </c>
      <c r="C385" t="s">
        <v>12</v>
      </c>
      <c r="D385">
        <v>0</v>
      </c>
      <c r="E385" t="s">
        <v>13</v>
      </c>
      <c r="F385" t="s">
        <v>17</v>
      </c>
      <c r="G385" s="3">
        <v>7167</v>
      </c>
      <c r="H385" s="3">
        <v>0</v>
      </c>
      <c r="I385" s="3">
        <v>128</v>
      </c>
      <c r="J385">
        <v>360</v>
      </c>
      <c r="K385">
        <v>1</v>
      </c>
      <c r="L385" t="s">
        <v>14</v>
      </c>
      <c r="M385" t="s">
        <v>15</v>
      </c>
      <c r="N385">
        <f t="shared" si="30"/>
        <v>7167</v>
      </c>
      <c r="O385" t="str">
        <f t="shared" si="31"/>
        <v>Medium</v>
      </c>
      <c r="P385" s="4">
        <f t="shared" si="32"/>
        <v>1.7859634435607646E-2</v>
      </c>
      <c r="Q385" t="str">
        <f t="shared" si="33"/>
        <v>Medium</v>
      </c>
      <c r="R385" s="19">
        <f t="shared" si="34"/>
        <v>1</v>
      </c>
      <c r="S385" t="str">
        <f t="shared" si="35"/>
        <v>1</v>
      </c>
    </row>
    <row r="386" spans="1:19" x14ac:dyDescent="0.25">
      <c r="A386" t="s">
        <v>405</v>
      </c>
      <c r="B386" t="s">
        <v>11</v>
      </c>
      <c r="C386" t="s">
        <v>17</v>
      </c>
      <c r="D386">
        <v>2</v>
      </c>
      <c r="E386" t="s">
        <v>13</v>
      </c>
      <c r="F386" t="s">
        <v>12</v>
      </c>
      <c r="G386" s="3">
        <v>4566</v>
      </c>
      <c r="H386" s="3">
        <v>0</v>
      </c>
      <c r="I386" s="3">
        <v>100</v>
      </c>
      <c r="J386">
        <v>360</v>
      </c>
      <c r="K386">
        <v>1</v>
      </c>
      <c r="L386" t="s">
        <v>14</v>
      </c>
      <c r="M386" t="s">
        <v>19</v>
      </c>
      <c r="N386">
        <f t="shared" si="30"/>
        <v>4566</v>
      </c>
      <c r="O386" t="str">
        <f t="shared" si="31"/>
        <v>Medium</v>
      </c>
      <c r="P386" s="4">
        <f t="shared" si="32"/>
        <v>2.1901007446342532E-2</v>
      </c>
      <c r="Q386" t="str">
        <f t="shared" si="33"/>
        <v>Medium</v>
      </c>
      <c r="R386" s="19">
        <f t="shared" si="34"/>
        <v>0</v>
      </c>
      <c r="S386" t="str">
        <f t="shared" si="35"/>
        <v>1</v>
      </c>
    </row>
    <row r="387" spans="1:19" x14ac:dyDescent="0.25">
      <c r="A387" t="s">
        <v>406</v>
      </c>
      <c r="B387" t="s">
        <v>11</v>
      </c>
      <c r="C387" t="s">
        <v>12</v>
      </c>
      <c r="D387">
        <v>1</v>
      </c>
      <c r="E387" t="s">
        <v>13</v>
      </c>
      <c r="F387" t="s">
        <v>12</v>
      </c>
      <c r="G387" s="3">
        <v>3667</v>
      </c>
      <c r="H387" s="3">
        <v>0</v>
      </c>
      <c r="I387" s="3">
        <v>113</v>
      </c>
      <c r="J387">
        <v>180</v>
      </c>
      <c r="K387">
        <v>1</v>
      </c>
      <c r="L387" t="s">
        <v>14</v>
      </c>
      <c r="M387" t="s">
        <v>15</v>
      </c>
      <c r="N387">
        <f t="shared" ref="N387:N450" si="36">G387+H387</f>
        <v>3667</v>
      </c>
      <c r="O387" t="str">
        <f t="shared" ref="O387:O450" si="37">IF(N387&lt;4000,"Low", IF(N387&lt;8000, "Medium", "High"))</f>
        <v>Low</v>
      </c>
      <c r="P387" s="4">
        <f t="shared" ref="P387:P450" si="38">I387/N387</f>
        <v>3.0815380419961822E-2</v>
      </c>
      <c r="Q387" t="str">
        <f t="shared" ref="Q387:Q450" si="39">IF(I387&lt;100, "Small", IF(I387&lt;200, "Medium", "Large"))</f>
        <v>Medium</v>
      </c>
      <c r="R387" s="19">
        <f t="shared" ref="R387:R450" si="40">IF(M387="Y", 1*1, 1*0)</f>
        <v>1</v>
      </c>
      <c r="S387" t="str">
        <f t="shared" ref="S387:S450" si="41">IF(L387="Urban","1", IF(L387="Rural", "2", IF(L387="Semiurban","3")))</f>
        <v>1</v>
      </c>
    </row>
    <row r="388" spans="1:19" x14ac:dyDescent="0.25">
      <c r="A388" t="s">
        <v>407</v>
      </c>
      <c r="B388" t="s">
        <v>11</v>
      </c>
      <c r="C388" t="s">
        <v>12</v>
      </c>
      <c r="D388">
        <v>0</v>
      </c>
      <c r="E388" t="s">
        <v>22</v>
      </c>
      <c r="F388" t="s">
        <v>12</v>
      </c>
      <c r="G388" s="3">
        <v>2346</v>
      </c>
      <c r="H388" s="3">
        <v>1600</v>
      </c>
      <c r="I388" s="3">
        <v>132</v>
      </c>
      <c r="J388">
        <v>360</v>
      </c>
      <c r="K388">
        <v>1</v>
      </c>
      <c r="L388" t="s">
        <v>27</v>
      </c>
      <c r="M388" t="s">
        <v>15</v>
      </c>
      <c r="N388">
        <f t="shared" si="36"/>
        <v>3946</v>
      </c>
      <c r="O388" t="str">
        <f t="shared" si="37"/>
        <v>Low</v>
      </c>
      <c r="P388" s="4">
        <f t="shared" si="38"/>
        <v>3.3451596553471873E-2</v>
      </c>
      <c r="Q388" t="str">
        <f t="shared" si="39"/>
        <v>Medium</v>
      </c>
      <c r="R388" s="19">
        <f t="shared" si="40"/>
        <v>1</v>
      </c>
      <c r="S388" t="str">
        <f t="shared" si="41"/>
        <v>3</v>
      </c>
    </row>
    <row r="389" spans="1:19" x14ac:dyDescent="0.25">
      <c r="A389" t="s">
        <v>408</v>
      </c>
      <c r="B389" t="s">
        <v>11</v>
      </c>
      <c r="C389" t="s">
        <v>17</v>
      </c>
      <c r="D389">
        <v>0</v>
      </c>
      <c r="E389" t="s">
        <v>22</v>
      </c>
      <c r="F389" t="s">
        <v>12</v>
      </c>
      <c r="G389" s="3">
        <v>3010</v>
      </c>
      <c r="H389" s="3">
        <v>3136</v>
      </c>
      <c r="I389" s="3">
        <v>0</v>
      </c>
      <c r="J389">
        <v>360</v>
      </c>
      <c r="K389">
        <v>0</v>
      </c>
      <c r="L389" t="s">
        <v>14</v>
      </c>
      <c r="M389" t="s">
        <v>19</v>
      </c>
      <c r="N389">
        <f t="shared" si="36"/>
        <v>6146</v>
      </c>
      <c r="O389" t="str">
        <f t="shared" si="37"/>
        <v>Medium</v>
      </c>
      <c r="P389" s="4">
        <f t="shared" si="38"/>
        <v>0</v>
      </c>
      <c r="Q389" t="str">
        <f t="shared" si="39"/>
        <v>Small</v>
      </c>
      <c r="R389" s="19">
        <f t="shared" si="40"/>
        <v>0</v>
      </c>
      <c r="S389" t="str">
        <f t="shared" si="41"/>
        <v>1</v>
      </c>
    </row>
    <row r="390" spans="1:19" x14ac:dyDescent="0.25">
      <c r="A390" t="s">
        <v>409</v>
      </c>
      <c r="B390" t="s">
        <v>11</v>
      </c>
      <c r="C390" t="s">
        <v>17</v>
      </c>
      <c r="D390">
        <v>0</v>
      </c>
      <c r="E390" t="s">
        <v>13</v>
      </c>
      <c r="F390" t="s">
        <v>12</v>
      </c>
      <c r="G390" s="3">
        <v>2333</v>
      </c>
      <c r="H390" s="3">
        <v>2417</v>
      </c>
      <c r="I390" s="3">
        <v>136</v>
      </c>
      <c r="J390">
        <v>360</v>
      </c>
      <c r="K390">
        <v>1</v>
      </c>
      <c r="L390" t="s">
        <v>14</v>
      </c>
      <c r="M390" t="s">
        <v>15</v>
      </c>
      <c r="N390">
        <f t="shared" si="36"/>
        <v>4750</v>
      </c>
      <c r="O390" t="str">
        <f t="shared" si="37"/>
        <v>Medium</v>
      </c>
      <c r="P390" s="4">
        <f t="shared" si="38"/>
        <v>2.8631578947368421E-2</v>
      </c>
      <c r="Q390" t="str">
        <f t="shared" si="39"/>
        <v>Medium</v>
      </c>
      <c r="R390" s="19">
        <f t="shared" si="40"/>
        <v>1</v>
      </c>
      <c r="S390" t="str">
        <f t="shared" si="41"/>
        <v>1</v>
      </c>
    </row>
    <row r="391" spans="1:19" x14ac:dyDescent="0.25">
      <c r="A391" t="s">
        <v>410</v>
      </c>
      <c r="B391" t="s">
        <v>11</v>
      </c>
      <c r="C391" t="s">
        <v>17</v>
      </c>
      <c r="D391">
        <v>0</v>
      </c>
      <c r="E391" t="s">
        <v>13</v>
      </c>
      <c r="F391" t="s">
        <v>12</v>
      </c>
      <c r="G391" s="3">
        <v>5488</v>
      </c>
      <c r="H391" s="3">
        <v>0</v>
      </c>
      <c r="I391" s="3">
        <v>125</v>
      </c>
      <c r="J391">
        <v>360</v>
      </c>
      <c r="K391">
        <v>1</v>
      </c>
      <c r="L391" t="s">
        <v>18</v>
      </c>
      <c r="M391" t="s">
        <v>15</v>
      </c>
      <c r="N391">
        <f t="shared" si="36"/>
        <v>5488</v>
      </c>
      <c r="O391" t="str">
        <f t="shared" si="37"/>
        <v>Medium</v>
      </c>
      <c r="P391" s="4">
        <f t="shared" si="38"/>
        <v>2.2776967930029153E-2</v>
      </c>
      <c r="Q391" t="str">
        <f t="shared" si="39"/>
        <v>Medium</v>
      </c>
      <c r="R391" s="19">
        <f t="shared" si="40"/>
        <v>1</v>
      </c>
      <c r="S391" t="str">
        <f t="shared" si="41"/>
        <v>2</v>
      </c>
    </row>
    <row r="392" spans="1:19" x14ac:dyDescent="0.25">
      <c r="A392" t="s">
        <v>411</v>
      </c>
      <c r="B392" t="s">
        <v>11</v>
      </c>
      <c r="C392" t="s">
        <v>12</v>
      </c>
      <c r="D392">
        <v>3</v>
      </c>
      <c r="E392" t="s">
        <v>13</v>
      </c>
      <c r="F392" t="s">
        <v>12</v>
      </c>
      <c r="G392" s="3">
        <v>9167</v>
      </c>
      <c r="H392" s="3">
        <v>0</v>
      </c>
      <c r="I392" s="3">
        <v>185</v>
      </c>
      <c r="J392">
        <v>360</v>
      </c>
      <c r="K392">
        <v>1</v>
      </c>
      <c r="L392" t="s">
        <v>18</v>
      </c>
      <c r="M392" t="s">
        <v>15</v>
      </c>
      <c r="N392">
        <f t="shared" si="36"/>
        <v>9167</v>
      </c>
      <c r="O392" t="str">
        <f t="shared" si="37"/>
        <v>High</v>
      </c>
      <c r="P392" s="4">
        <f t="shared" si="38"/>
        <v>2.0181084324206393E-2</v>
      </c>
      <c r="Q392" t="str">
        <f t="shared" si="39"/>
        <v>Medium</v>
      </c>
      <c r="R392" s="19">
        <f t="shared" si="40"/>
        <v>1</v>
      </c>
      <c r="S392" t="str">
        <f t="shared" si="41"/>
        <v>2</v>
      </c>
    </row>
    <row r="393" spans="1:19" x14ac:dyDescent="0.25">
      <c r="A393" t="s">
        <v>412</v>
      </c>
      <c r="B393" t="s">
        <v>11</v>
      </c>
      <c r="C393" t="s">
        <v>17</v>
      </c>
      <c r="D393">
        <v>3</v>
      </c>
      <c r="E393" t="s">
        <v>13</v>
      </c>
      <c r="F393" t="s">
        <v>12</v>
      </c>
      <c r="G393" s="3">
        <v>9504</v>
      </c>
      <c r="H393" s="3">
        <v>0</v>
      </c>
      <c r="I393" s="3">
        <v>275</v>
      </c>
      <c r="J393">
        <v>360</v>
      </c>
      <c r="K393">
        <v>1</v>
      </c>
      <c r="L393" t="s">
        <v>18</v>
      </c>
      <c r="M393" t="s">
        <v>15</v>
      </c>
      <c r="N393">
        <f t="shared" si="36"/>
        <v>9504</v>
      </c>
      <c r="O393" t="str">
        <f t="shared" si="37"/>
        <v>High</v>
      </c>
      <c r="P393" s="4">
        <f t="shared" si="38"/>
        <v>2.8935185185185185E-2</v>
      </c>
      <c r="Q393" t="str">
        <f t="shared" si="39"/>
        <v>Large</v>
      </c>
      <c r="R393" s="19">
        <f t="shared" si="40"/>
        <v>1</v>
      </c>
      <c r="S393" t="str">
        <f t="shared" si="41"/>
        <v>2</v>
      </c>
    </row>
    <row r="394" spans="1:19" x14ac:dyDescent="0.25">
      <c r="A394" t="s">
        <v>413</v>
      </c>
      <c r="B394" t="s">
        <v>11</v>
      </c>
      <c r="C394" t="s">
        <v>17</v>
      </c>
      <c r="D394">
        <v>0</v>
      </c>
      <c r="E394" t="s">
        <v>13</v>
      </c>
      <c r="F394" t="s">
        <v>12</v>
      </c>
      <c r="G394" s="3">
        <v>2583</v>
      </c>
      <c r="H394" s="3">
        <v>2115</v>
      </c>
      <c r="I394" s="3">
        <v>120</v>
      </c>
      <c r="J394">
        <v>360</v>
      </c>
      <c r="K394">
        <v>0</v>
      </c>
      <c r="L394" t="s">
        <v>14</v>
      </c>
      <c r="M394" t="s">
        <v>15</v>
      </c>
      <c r="N394">
        <f t="shared" si="36"/>
        <v>4698</v>
      </c>
      <c r="O394" t="str">
        <f t="shared" si="37"/>
        <v>Medium</v>
      </c>
      <c r="P394" s="4">
        <f t="shared" si="38"/>
        <v>2.554278416347382E-2</v>
      </c>
      <c r="Q394" t="str">
        <f t="shared" si="39"/>
        <v>Medium</v>
      </c>
      <c r="R394" s="19">
        <f t="shared" si="40"/>
        <v>1</v>
      </c>
      <c r="S394" t="str">
        <f t="shared" si="41"/>
        <v>1</v>
      </c>
    </row>
    <row r="395" spans="1:19" x14ac:dyDescent="0.25">
      <c r="A395" t="s">
        <v>414</v>
      </c>
      <c r="B395" t="s">
        <v>11</v>
      </c>
      <c r="C395" t="s">
        <v>17</v>
      </c>
      <c r="D395">
        <v>2</v>
      </c>
      <c r="E395" t="s">
        <v>22</v>
      </c>
      <c r="F395" t="s">
        <v>12</v>
      </c>
      <c r="G395" s="3">
        <v>1993</v>
      </c>
      <c r="H395" s="3">
        <v>1625</v>
      </c>
      <c r="I395" s="3">
        <v>113</v>
      </c>
      <c r="J395">
        <v>180</v>
      </c>
      <c r="K395">
        <v>1</v>
      </c>
      <c r="L395" t="s">
        <v>27</v>
      </c>
      <c r="M395" t="s">
        <v>15</v>
      </c>
      <c r="N395">
        <f t="shared" si="36"/>
        <v>3618</v>
      </c>
      <c r="O395" t="str">
        <f t="shared" si="37"/>
        <v>Low</v>
      </c>
      <c r="P395" s="4">
        <f t="shared" si="38"/>
        <v>3.1232725262576009E-2</v>
      </c>
      <c r="Q395" t="str">
        <f t="shared" si="39"/>
        <v>Medium</v>
      </c>
      <c r="R395" s="19">
        <f t="shared" si="40"/>
        <v>1</v>
      </c>
      <c r="S395" t="str">
        <f t="shared" si="41"/>
        <v>3</v>
      </c>
    </row>
    <row r="396" spans="1:19" x14ac:dyDescent="0.25">
      <c r="A396" t="s">
        <v>415</v>
      </c>
      <c r="B396" t="s">
        <v>11</v>
      </c>
      <c r="C396" t="s">
        <v>17</v>
      </c>
      <c r="D396">
        <v>2</v>
      </c>
      <c r="E396" t="s">
        <v>13</v>
      </c>
      <c r="F396" t="s">
        <v>12</v>
      </c>
      <c r="G396" s="3">
        <v>3100</v>
      </c>
      <c r="H396" s="3">
        <v>1400</v>
      </c>
      <c r="I396" s="3">
        <v>113</v>
      </c>
      <c r="J396">
        <v>360</v>
      </c>
      <c r="K396">
        <v>1</v>
      </c>
      <c r="L396" t="s">
        <v>14</v>
      </c>
      <c r="M396" t="s">
        <v>15</v>
      </c>
      <c r="N396">
        <f t="shared" si="36"/>
        <v>4500</v>
      </c>
      <c r="O396" t="str">
        <f t="shared" si="37"/>
        <v>Medium</v>
      </c>
      <c r="P396" s="4">
        <f t="shared" si="38"/>
        <v>2.5111111111111112E-2</v>
      </c>
      <c r="Q396" t="str">
        <f t="shared" si="39"/>
        <v>Medium</v>
      </c>
      <c r="R396" s="19">
        <f t="shared" si="40"/>
        <v>1</v>
      </c>
      <c r="S396" t="str">
        <f t="shared" si="41"/>
        <v>1</v>
      </c>
    </row>
    <row r="397" spans="1:19" x14ac:dyDescent="0.25">
      <c r="A397" t="s">
        <v>416</v>
      </c>
      <c r="B397" t="s">
        <v>11</v>
      </c>
      <c r="C397" t="s">
        <v>17</v>
      </c>
      <c r="D397">
        <v>2</v>
      </c>
      <c r="E397" t="s">
        <v>13</v>
      </c>
      <c r="F397" t="s">
        <v>12</v>
      </c>
      <c r="G397" s="3">
        <v>3276</v>
      </c>
      <c r="H397" s="3">
        <v>484</v>
      </c>
      <c r="I397" s="3">
        <v>135</v>
      </c>
      <c r="J397">
        <v>360</v>
      </c>
      <c r="K397">
        <v>0</v>
      </c>
      <c r="L397" t="s">
        <v>27</v>
      </c>
      <c r="M397" t="s">
        <v>15</v>
      </c>
      <c r="N397">
        <f t="shared" si="36"/>
        <v>3760</v>
      </c>
      <c r="O397" t="str">
        <f t="shared" si="37"/>
        <v>Low</v>
      </c>
      <c r="P397" s="4">
        <f t="shared" si="38"/>
        <v>3.5904255319148939E-2</v>
      </c>
      <c r="Q397" t="str">
        <f t="shared" si="39"/>
        <v>Medium</v>
      </c>
      <c r="R397" s="19">
        <f t="shared" si="40"/>
        <v>1</v>
      </c>
      <c r="S397" t="str">
        <f t="shared" si="41"/>
        <v>3</v>
      </c>
    </row>
    <row r="398" spans="1:19" x14ac:dyDescent="0.25">
      <c r="A398" t="s">
        <v>417</v>
      </c>
      <c r="B398" t="s">
        <v>38</v>
      </c>
      <c r="C398" t="s">
        <v>12</v>
      </c>
      <c r="D398">
        <v>0</v>
      </c>
      <c r="E398" t="s">
        <v>13</v>
      </c>
      <c r="F398" t="s">
        <v>12</v>
      </c>
      <c r="G398" s="3">
        <v>3180</v>
      </c>
      <c r="H398" s="3">
        <v>0</v>
      </c>
      <c r="I398" s="3">
        <v>71</v>
      </c>
      <c r="J398">
        <v>360</v>
      </c>
      <c r="K398">
        <v>0</v>
      </c>
      <c r="L398" t="s">
        <v>14</v>
      </c>
      <c r="M398" t="s">
        <v>19</v>
      </c>
      <c r="N398">
        <f t="shared" si="36"/>
        <v>3180</v>
      </c>
      <c r="O398" t="str">
        <f t="shared" si="37"/>
        <v>Low</v>
      </c>
      <c r="P398" s="4">
        <f t="shared" si="38"/>
        <v>2.2327044025157231E-2</v>
      </c>
      <c r="Q398" t="str">
        <f t="shared" si="39"/>
        <v>Small</v>
      </c>
      <c r="R398" s="19">
        <f t="shared" si="40"/>
        <v>0</v>
      </c>
      <c r="S398" t="str">
        <f t="shared" si="41"/>
        <v>1</v>
      </c>
    </row>
    <row r="399" spans="1:19" x14ac:dyDescent="0.25">
      <c r="A399" t="s">
        <v>418</v>
      </c>
      <c r="B399" t="s">
        <v>11</v>
      </c>
      <c r="C399" t="s">
        <v>17</v>
      </c>
      <c r="D399">
        <v>0</v>
      </c>
      <c r="E399" t="s">
        <v>13</v>
      </c>
      <c r="F399" t="s">
        <v>12</v>
      </c>
      <c r="G399" s="3">
        <v>3033</v>
      </c>
      <c r="H399" s="3">
        <v>1459</v>
      </c>
      <c r="I399" s="3">
        <v>95</v>
      </c>
      <c r="J399">
        <v>360</v>
      </c>
      <c r="K399">
        <v>1</v>
      </c>
      <c r="L399" t="s">
        <v>14</v>
      </c>
      <c r="M399" t="s">
        <v>15</v>
      </c>
      <c r="N399">
        <f t="shared" si="36"/>
        <v>4492</v>
      </c>
      <c r="O399" t="str">
        <f t="shared" si="37"/>
        <v>Medium</v>
      </c>
      <c r="P399" s="4">
        <f t="shared" si="38"/>
        <v>2.1148708815672306E-2</v>
      </c>
      <c r="Q399" t="str">
        <f t="shared" si="39"/>
        <v>Small</v>
      </c>
      <c r="R399" s="19">
        <f t="shared" si="40"/>
        <v>1</v>
      </c>
      <c r="S399" t="str">
        <f t="shared" si="41"/>
        <v>1</v>
      </c>
    </row>
    <row r="400" spans="1:19" x14ac:dyDescent="0.25">
      <c r="A400" t="s">
        <v>419</v>
      </c>
      <c r="B400" t="s">
        <v>11</v>
      </c>
      <c r="C400" t="s">
        <v>12</v>
      </c>
      <c r="D400">
        <v>0</v>
      </c>
      <c r="E400" t="s">
        <v>22</v>
      </c>
      <c r="F400" t="s">
        <v>12</v>
      </c>
      <c r="G400" s="3">
        <v>3902</v>
      </c>
      <c r="H400" s="3">
        <v>1666</v>
      </c>
      <c r="I400" s="3">
        <v>109</v>
      </c>
      <c r="J400">
        <v>360</v>
      </c>
      <c r="K400">
        <v>1</v>
      </c>
      <c r="L400" t="s">
        <v>18</v>
      </c>
      <c r="M400" t="s">
        <v>15</v>
      </c>
      <c r="N400">
        <f t="shared" si="36"/>
        <v>5568</v>
      </c>
      <c r="O400" t="str">
        <f t="shared" si="37"/>
        <v>Medium</v>
      </c>
      <c r="P400" s="4">
        <f t="shared" si="38"/>
        <v>1.9576149425287355E-2</v>
      </c>
      <c r="Q400" t="str">
        <f t="shared" si="39"/>
        <v>Medium</v>
      </c>
      <c r="R400" s="19">
        <f t="shared" si="40"/>
        <v>1</v>
      </c>
      <c r="S400" t="str">
        <f t="shared" si="41"/>
        <v>2</v>
      </c>
    </row>
    <row r="401" spans="1:19" x14ac:dyDescent="0.25">
      <c r="A401" t="s">
        <v>420</v>
      </c>
      <c r="B401" t="s">
        <v>38</v>
      </c>
      <c r="C401" t="s">
        <v>12</v>
      </c>
      <c r="D401">
        <v>0</v>
      </c>
      <c r="E401" t="s">
        <v>13</v>
      </c>
      <c r="F401" t="s">
        <v>12</v>
      </c>
      <c r="G401" s="3">
        <v>1500</v>
      </c>
      <c r="H401" s="3">
        <v>1800</v>
      </c>
      <c r="I401" s="3">
        <v>103</v>
      </c>
      <c r="J401">
        <v>360</v>
      </c>
      <c r="K401">
        <v>0</v>
      </c>
      <c r="L401" t="s">
        <v>27</v>
      </c>
      <c r="M401" t="s">
        <v>19</v>
      </c>
      <c r="N401">
        <f t="shared" si="36"/>
        <v>3300</v>
      </c>
      <c r="O401" t="str">
        <f t="shared" si="37"/>
        <v>Low</v>
      </c>
      <c r="P401" s="4">
        <f t="shared" si="38"/>
        <v>3.1212121212121212E-2</v>
      </c>
      <c r="Q401" t="str">
        <f t="shared" si="39"/>
        <v>Medium</v>
      </c>
      <c r="R401" s="19">
        <f t="shared" si="40"/>
        <v>0</v>
      </c>
      <c r="S401" t="str">
        <f t="shared" si="41"/>
        <v>3</v>
      </c>
    </row>
    <row r="402" spans="1:19" x14ac:dyDescent="0.25">
      <c r="A402" t="s">
        <v>421</v>
      </c>
      <c r="B402" t="s">
        <v>11</v>
      </c>
      <c r="C402" t="s">
        <v>17</v>
      </c>
      <c r="D402">
        <v>2</v>
      </c>
      <c r="E402" t="s">
        <v>22</v>
      </c>
      <c r="F402" t="s">
        <v>12</v>
      </c>
      <c r="G402" s="3">
        <v>2889</v>
      </c>
      <c r="H402" s="3">
        <v>0</v>
      </c>
      <c r="I402" s="3">
        <v>45</v>
      </c>
      <c r="J402">
        <v>180</v>
      </c>
      <c r="K402">
        <v>0</v>
      </c>
      <c r="L402" t="s">
        <v>14</v>
      </c>
      <c r="M402" t="s">
        <v>19</v>
      </c>
      <c r="N402">
        <f t="shared" si="36"/>
        <v>2889</v>
      </c>
      <c r="O402" t="str">
        <f t="shared" si="37"/>
        <v>Low</v>
      </c>
      <c r="P402" s="4">
        <f t="shared" si="38"/>
        <v>1.5576323987538941E-2</v>
      </c>
      <c r="Q402" t="str">
        <f t="shared" si="39"/>
        <v>Small</v>
      </c>
      <c r="R402" s="19">
        <f t="shared" si="40"/>
        <v>0</v>
      </c>
      <c r="S402" t="str">
        <f t="shared" si="41"/>
        <v>1</v>
      </c>
    </row>
    <row r="403" spans="1:19" x14ac:dyDescent="0.25">
      <c r="A403" t="s">
        <v>422</v>
      </c>
      <c r="B403" t="s">
        <v>11</v>
      </c>
      <c r="C403" t="s">
        <v>12</v>
      </c>
      <c r="D403">
        <v>0</v>
      </c>
      <c r="E403" t="s">
        <v>22</v>
      </c>
      <c r="F403" t="s">
        <v>12</v>
      </c>
      <c r="G403" s="3">
        <v>2755</v>
      </c>
      <c r="H403" s="3">
        <v>0</v>
      </c>
      <c r="I403" s="3">
        <v>65</v>
      </c>
      <c r="J403">
        <v>300</v>
      </c>
      <c r="K403">
        <v>1</v>
      </c>
      <c r="L403" t="s">
        <v>18</v>
      </c>
      <c r="M403" t="s">
        <v>19</v>
      </c>
      <c r="N403">
        <f t="shared" si="36"/>
        <v>2755</v>
      </c>
      <c r="O403" t="str">
        <f t="shared" si="37"/>
        <v>Low</v>
      </c>
      <c r="P403" s="4">
        <f t="shared" si="38"/>
        <v>2.3593466424682397E-2</v>
      </c>
      <c r="Q403" t="str">
        <f t="shared" si="39"/>
        <v>Small</v>
      </c>
      <c r="R403" s="19">
        <f t="shared" si="40"/>
        <v>0</v>
      </c>
      <c r="S403" t="str">
        <f t="shared" si="41"/>
        <v>2</v>
      </c>
    </row>
    <row r="404" spans="1:19" x14ac:dyDescent="0.25">
      <c r="A404" t="s">
        <v>423</v>
      </c>
      <c r="B404" t="s">
        <v>11</v>
      </c>
      <c r="C404" t="s">
        <v>12</v>
      </c>
      <c r="D404">
        <v>0</v>
      </c>
      <c r="E404" t="s">
        <v>13</v>
      </c>
      <c r="F404" t="s">
        <v>12</v>
      </c>
      <c r="G404" s="3">
        <v>2500</v>
      </c>
      <c r="H404" s="3">
        <v>20000</v>
      </c>
      <c r="I404" s="3">
        <v>103</v>
      </c>
      <c r="J404">
        <v>360</v>
      </c>
      <c r="K404">
        <v>1</v>
      </c>
      <c r="L404" t="s">
        <v>27</v>
      </c>
      <c r="M404" t="s">
        <v>15</v>
      </c>
      <c r="N404">
        <f t="shared" si="36"/>
        <v>22500</v>
      </c>
      <c r="O404" t="str">
        <f t="shared" si="37"/>
        <v>High</v>
      </c>
      <c r="P404" s="4">
        <f t="shared" si="38"/>
        <v>4.5777777777777778E-3</v>
      </c>
      <c r="Q404" t="str">
        <f t="shared" si="39"/>
        <v>Medium</v>
      </c>
      <c r="R404" s="19">
        <f t="shared" si="40"/>
        <v>1</v>
      </c>
      <c r="S404" t="str">
        <f t="shared" si="41"/>
        <v>3</v>
      </c>
    </row>
    <row r="405" spans="1:19" x14ac:dyDescent="0.25">
      <c r="A405" t="s">
        <v>424</v>
      </c>
      <c r="B405" t="s">
        <v>38</v>
      </c>
      <c r="C405" t="s">
        <v>12</v>
      </c>
      <c r="D405">
        <v>0</v>
      </c>
      <c r="E405" t="s">
        <v>22</v>
      </c>
      <c r="F405" t="s">
        <v>12</v>
      </c>
      <c r="G405" s="3">
        <v>1963</v>
      </c>
      <c r="H405" s="3">
        <v>0</v>
      </c>
      <c r="I405" s="3">
        <v>53</v>
      </c>
      <c r="J405">
        <v>360</v>
      </c>
      <c r="K405">
        <v>1</v>
      </c>
      <c r="L405" t="s">
        <v>27</v>
      </c>
      <c r="M405" t="s">
        <v>15</v>
      </c>
      <c r="N405">
        <f t="shared" si="36"/>
        <v>1963</v>
      </c>
      <c r="O405" t="str">
        <f t="shared" si="37"/>
        <v>Low</v>
      </c>
      <c r="P405" s="4">
        <f t="shared" si="38"/>
        <v>2.6999490575649515E-2</v>
      </c>
      <c r="Q405" t="str">
        <f t="shared" si="39"/>
        <v>Small</v>
      </c>
      <c r="R405" s="19">
        <f t="shared" si="40"/>
        <v>1</v>
      </c>
      <c r="S405" t="str">
        <f t="shared" si="41"/>
        <v>3</v>
      </c>
    </row>
    <row r="406" spans="1:19" x14ac:dyDescent="0.25">
      <c r="A406" t="s">
        <v>425</v>
      </c>
      <c r="B406" t="s">
        <v>38</v>
      </c>
      <c r="C406" t="s">
        <v>12</v>
      </c>
      <c r="D406">
        <v>0</v>
      </c>
      <c r="E406" t="s">
        <v>13</v>
      </c>
      <c r="F406" t="s">
        <v>17</v>
      </c>
      <c r="G406" s="3">
        <v>7441</v>
      </c>
      <c r="H406" s="3">
        <v>0</v>
      </c>
      <c r="I406" s="3">
        <v>194</v>
      </c>
      <c r="J406">
        <v>360</v>
      </c>
      <c r="K406">
        <v>1</v>
      </c>
      <c r="L406" t="s">
        <v>18</v>
      </c>
      <c r="M406" t="s">
        <v>19</v>
      </c>
      <c r="N406">
        <f t="shared" si="36"/>
        <v>7441</v>
      </c>
      <c r="O406" t="str">
        <f t="shared" si="37"/>
        <v>Medium</v>
      </c>
      <c r="P406" s="4">
        <f t="shared" si="38"/>
        <v>2.6071764547775836E-2</v>
      </c>
      <c r="Q406" t="str">
        <f t="shared" si="39"/>
        <v>Medium</v>
      </c>
      <c r="R406" s="19">
        <f t="shared" si="40"/>
        <v>0</v>
      </c>
      <c r="S406" t="str">
        <f t="shared" si="41"/>
        <v>2</v>
      </c>
    </row>
    <row r="407" spans="1:19" x14ac:dyDescent="0.25">
      <c r="A407" t="s">
        <v>426</v>
      </c>
      <c r="B407" t="s">
        <v>38</v>
      </c>
      <c r="C407" t="s">
        <v>12</v>
      </c>
      <c r="D407">
        <v>0</v>
      </c>
      <c r="E407" t="s">
        <v>13</v>
      </c>
      <c r="F407" t="s">
        <v>12</v>
      </c>
      <c r="G407" s="3">
        <v>4547</v>
      </c>
      <c r="H407" s="3">
        <v>0</v>
      </c>
      <c r="I407" s="3">
        <v>115</v>
      </c>
      <c r="J407">
        <v>360</v>
      </c>
      <c r="K407">
        <v>1</v>
      </c>
      <c r="L407" t="s">
        <v>27</v>
      </c>
      <c r="M407" t="s">
        <v>15</v>
      </c>
      <c r="N407">
        <f t="shared" si="36"/>
        <v>4547</v>
      </c>
      <c r="O407" t="str">
        <f t="shared" si="37"/>
        <v>Medium</v>
      </c>
      <c r="P407" s="4">
        <f t="shared" si="38"/>
        <v>2.5291400923685946E-2</v>
      </c>
      <c r="Q407" t="str">
        <f t="shared" si="39"/>
        <v>Medium</v>
      </c>
      <c r="R407" s="19">
        <f t="shared" si="40"/>
        <v>1</v>
      </c>
      <c r="S407" t="str">
        <f t="shared" si="41"/>
        <v>3</v>
      </c>
    </row>
    <row r="408" spans="1:19" x14ac:dyDescent="0.25">
      <c r="A408" t="s">
        <v>427</v>
      </c>
      <c r="B408" t="s">
        <v>11</v>
      </c>
      <c r="C408" t="s">
        <v>17</v>
      </c>
      <c r="D408">
        <v>0</v>
      </c>
      <c r="E408" t="s">
        <v>22</v>
      </c>
      <c r="F408" t="s">
        <v>12</v>
      </c>
      <c r="G408" s="3">
        <v>2167</v>
      </c>
      <c r="H408" s="3">
        <v>2400</v>
      </c>
      <c r="I408" s="3">
        <v>115</v>
      </c>
      <c r="J408">
        <v>360</v>
      </c>
      <c r="K408">
        <v>1</v>
      </c>
      <c r="L408" t="s">
        <v>14</v>
      </c>
      <c r="M408" t="s">
        <v>15</v>
      </c>
      <c r="N408">
        <f t="shared" si="36"/>
        <v>4567</v>
      </c>
      <c r="O408" t="str">
        <f t="shared" si="37"/>
        <v>Medium</v>
      </c>
      <c r="P408" s="4">
        <f t="shared" si="38"/>
        <v>2.5180643748631486E-2</v>
      </c>
      <c r="Q408" t="str">
        <f t="shared" si="39"/>
        <v>Medium</v>
      </c>
      <c r="R408" s="19">
        <f t="shared" si="40"/>
        <v>1</v>
      </c>
      <c r="S408" t="str">
        <f t="shared" si="41"/>
        <v>1</v>
      </c>
    </row>
    <row r="409" spans="1:19" x14ac:dyDescent="0.25">
      <c r="A409" t="s">
        <v>428</v>
      </c>
      <c r="B409" t="s">
        <v>38</v>
      </c>
      <c r="C409" t="s">
        <v>12</v>
      </c>
      <c r="D409">
        <v>0</v>
      </c>
      <c r="E409" t="s">
        <v>22</v>
      </c>
      <c r="F409" t="s">
        <v>12</v>
      </c>
      <c r="G409" s="3">
        <v>2213</v>
      </c>
      <c r="H409" s="3">
        <v>0</v>
      </c>
      <c r="I409" s="3">
        <v>66</v>
      </c>
      <c r="J409">
        <v>360</v>
      </c>
      <c r="K409">
        <v>1</v>
      </c>
      <c r="L409" t="s">
        <v>18</v>
      </c>
      <c r="M409" t="s">
        <v>15</v>
      </c>
      <c r="N409">
        <f t="shared" si="36"/>
        <v>2213</v>
      </c>
      <c r="O409" t="str">
        <f t="shared" si="37"/>
        <v>Low</v>
      </c>
      <c r="P409" s="4">
        <f t="shared" si="38"/>
        <v>2.9823768639855398E-2</v>
      </c>
      <c r="Q409" t="str">
        <f t="shared" si="39"/>
        <v>Small</v>
      </c>
      <c r="R409" s="19">
        <f t="shared" si="40"/>
        <v>1</v>
      </c>
      <c r="S409" t="str">
        <f t="shared" si="41"/>
        <v>2</v>
      </c>
    </row>
    <row r="410" spans="1:19" x14ac:dyDescent="0.25">
      <c r="A410" t="s">
        <v>429</v>
      </c>
      <c r="B410" t="s">
        <v>11</v>
      </c>
      <c r="C410" t="s">
        <v>17</v>
      </c>
      <c r="D410">
        <v>1</v>
      </c>
      <c r="E410" t="s">
        <v>13</v>
      </c>
      <c r="F410" t="s">
        <v>12</v>
      </c>
      <c r="G410" s="3">
        <v>8300</v>
      </c>
      <c r="H410" s="3">
        <v>0</v>
      </c>
      <c r="I410" s="3">
        <v>152</v>
      </c>
      <c r="J410">
        <v>300</v>
      </c>
      <c r="K410">
        <v>0</v>
      </c>
      <c r="L410" t="s">
        <v>27</v>
      </c>
      <c r="M410" t="s">
        <v>19</v>
      </c>
      <c r="N410">
        <f t="shared" si="36"/>
        <v>8300</v>
      </c>
      <c r="O410" t="str">
        <f t="shared" si="37"/>
        <v>High</v>
      </c>
      <c r="P410" s="4">
        <f t="shared" si="38"/>
        <v>1.8313253012048194E-2</v>
      </c>
      <c r="Q410" t="str">
        <f t="shared" si="39"/>
        <v>Medium</v>
      </c>
      <c r="R410" s="19">
        <f t="shared" si="40"/>
        <v>0</v>
      </c>
      <c r="S410" t="str">
        <f t="shared" si="41"/>
        <v>3</v>
      </c>
    </row>
    <row r="411" spans="1:19" x14ac:dyDescent="0.25">
      <c r="A411" t="s">
        <v>430</v>
      </c>
      <c r="B411" t="s">
        <v>11</v>
      </c>
      <c r="C411" t="s">
        <v>17</v>
      </c>
      <c r="D411">
        <v>3</v>
      </c>
      <c r="E411" t="s">
        <v>13</v>
      </c>
      <c r="F411" t="s">
        <v>12</v>
      </c>
      <c r="G411" s="3">
        <v>81000</v>
      </c>
      <c r="H411" s="3">
        <v>0</v>
      </c>
      <c r="I411" s="3">
        <v>360</v>
      </c>
      <c r="J411">
        <v>360</v>
      </c>
      <c r="K411">
        <v>0</v>
      </c>
      <c r="L411" t="s">
        <v>18</v>
      </c>
      <c r="M411" t="s">
        <v>19</v>
      </c>
      <c r="N411">
        <f t="shared" si="36"/>
        <v>81000</v>
      </c>
      <c r="O411" t="str">
        <f t="shared" si="37"/>
        <v>High</v>
      </c>
      <c r="P411" s="4">
        <f t="shared" si="38"/>
        <v>4.4444444444444444E-3</v>
      </c>
      <c r="Q411" t="str">
        <f t="shared" si="39"/>
        <v>Large</v>
      </c>
      <c r="R411" s="19">
        <f t="shared" si="40"/>
        <v>0</v>
      </c>
      <c r="S411" t="str">
        <f t="shared" si="41"/>
        <v>2</v>
      </c>
    </row>
    <row r="412" spans="1:19" x14ac:dyDescent="0.25">
      <c r="A412" t="s">
        <v>431</v>
      </c>
      <c r="B412" t="s">
        <v>38</v>
      </c>
      <c r="C412" t="s">
        <v>12</v>
      </c>
      <c r="D412">
        <v>1</v>
      </c>
      <c r="E412" t="s">
        <v>22</v>
      </c>
      <c r="F412" t="s">
        <v>17</v>
      </c>
      <c r="G412" s="3">
        <v>3867</v>
      </c>
      <c r="H412" s="3">
        <v>0</v>
      </c>
      <c r="I412" s="3">
        <v>62</v>
      </c>
      <c r="J412">
        <v>360</v>
      </c>
      <c r="K412">
        <v>1</v>
      </c>
      <c r="L412" t="s">
        <v>27</v>
      </c>
      <c r="M412" t="s">
        <v>19</v>
      </c>
      <c r="N412">
        <f t="shared" si="36"/>
        <v>3867</v>
      </c>
      <c r="O412" t="str">
        <f t="shared" si="37"/>
        <v>Low</v>
      </c>
      <c r="P412" s="4">
        <f t="shared" si="38"/>
        <v>1.6033100594776313E-2</v>
      </c>
      <c r="Q412" t="str">
        <f t="shared" si="39"/>
        <v>Small</v>
      </c>
      <c r="R412" s="19">
        <f t="shared" si="40"/>
        <v>0</v>
      </c>
      <c r="S412" t="str">
        <f t="shared" si="41"/>
        <v>3</v>
      </c>
    </row>
    <row r="413" spans="1:19" x14ac:dyDescent="0.25">
      <c r="A413" t="s">
        <v>432</v>
      </c>
      <c r="B413" t="s">
        <v>11</v>
      </c>
      <c r="C413" t="s">
        <v>17</v>
      </c>
      <c r="D413">
        <v>0</v>
      </c>
      <c r="E413" t="s">
        <v>13</v>
      </c>
      <c r="F413" t="s">
        <v>12</v>
      </c>
      <c r="G413" s="3">
        <v>6256</v>
      </c>
      <c r="H413" s="3">
        <v>0</v>
      </c>
      <c r="I413" s="3">
        <v>160</v>
      </c>
      <c r="J413">
        <v>360</v>
      </c>
      <c r="K413">
        <v>1</v>
      </c>
      <c r="L413" t="s">
        <v>14</v>
      </c>
      <c r="M413" t="s">
        <v>15</v>
      </c>
      <c r="N413">
        <f t="shared" si="36"/>
        <v>6256</v>
      </c>
      <c r="O413" t="str">
        <f t="shared" si="37"/>
        <v>Medium</v>
      </c>
      <c r="P413" s="4">
        <f t="shared" si="38"/>
        <v>2.557544757033248E-2</v>
      </c>
      <c r="Q413" t="str">
        <f t="shared" si="39"/>
        <v>Medium</v>
      </c>
      <c r="R413" s="19">
        <f t="shared" si="40"/>
        <v>1</v>
      </c>
      <c r="S413" t="str">
        <f t="shared" si="41"/>
        <v>1</v>
      </c>
    </row>
    <row r="414" spans="1:19" x14ac:dyDescent="0.25">
      <c r="A414" t="s">
        <v>433</v>
      </c>
      <c r="B414" t="s">
        <v>11</v>
      </c>
      <c r="C414" t="s">
        <v>17</v>
      </c>
      <c r="D414">
        <v>0</v>
      </c>
      <c r="E414" t="s">
        <v>22</v>
      </c>
      <c r="F414" t="s">
        <v>12</v>
      </c>
      <c r="G414" s="3">
        <v>6096</v>
      </c>
      <c r="H414" s="3">
        <v>0</v>
      </c>
      <c r="I414" s="3">
        <v>218</v>
      </c>
      <c r="J414">
        <v>360</v>
      </c>
      <c r="K414">
        <v>0</v>
      </c>
      <c r="L414" t="s">
        <v>18</v>
      </c>
      <c r="M414" t="s">
        <v>19</v>
      </c>
      <c r="N414">
        <f t="shared" si="36"/>
        <v>6096</v>
      </c>
      <c r="O414" t="str">
        <f t="shared" si="37"/>
        <v>Medium</v>
      </c>
      <c r="P414" s="4">
        <f t="shared" si="38"/>
        <v>3.5761154855643046E-2</v>
      </c>
      <c r="Q414" t="str">
        <f t="shared" si="39"/>
        <v>Large</v>
      </c>
      <c r="R414" s="19">
        <f t="shared" si="40"/>
        <v>0</v>
      </c>
      <c r="S414" t="str">
        <f t="shared" si="41"/>
        <v>2</v>
      </c>
    </row>
    <row r="415" spans="1:19" x14ac:dyDescent="0.25">
      <c r="A415" t="s">
        <v>434</v>
      </c>
      <c r="B415" t="s">
        <v>11</v>
      </c>
      <c r="C415" t="s">
        <v>17</v>
      </c>
      <c r="D415">
        <v>0</v>
      </c>
      <c r="E415" t="s">
        <v>22</v>
      </c>
      <c r="F415" t="s">
        <v>12</v>
      </c>
      <c r="G415" s="3">
        <v>2253</v>
      </c>
      <c r="H415" s="3">
        <v>2033</v>
      </c>
      <c r="I415" s="3">
        <v>110</v>
      </c>
      <c r="J415">
        <v>360</v>
      </c>
      <c r="K415">
        <v>1</v>
      </c>
      <c r="L415" t="s">
        <v>18</v>
      </c>
      <c r="M415" t="s">
        <v>15</v>
      </c>
      <c r="N415">
        <f t="shared" si="36"/>
        <v>4286</v>
      </c>
      <c r="O415" t="str">
        <f t="shared" si="37"/>
        <v>Medium</v>
      </c>
      <c r="P415" s="4">
        <f t="shared" si="38"/>
        <v>2.5664955669622024E-2</v>
      </c>
      <c r="Q415" t="str">
        <f t="shared" si="39"/>
        <v>Medium</v>
      </c>
      <c r="R415" s="19">
        <f t="shared" si="40"/>
        <v>1</v>
      </c>
      <c r="S415" t="str">
        <f t="shared" si="41"/>
        <v>2</v>
      </c>
    </row>
    <row r="416" spans="1:19" x14ac:dyDescent="0.25">
      <c r="A416" t="s">
        <v>435</v>
      </c>
      <c r="B416" t="s">
        <v>38</v>
      </c>
      <c r="C416" t="s">
        <v>17</v>
      </c>
      <c r="D416">
        <v>0</v>
      </c>
      <c r="E416" t="s">
        <v>22</v>
      </c>
      <c r="F416" t="s">
        <v>12</v>
      </c>
      <c r="G416" s="3">
        <v>2149</v>
      </c>
      <c r="H416" s="3">
        <v>3237</v>
      </c>
      <c r="I416" s="3">
        <v>178</v>
      </c>
      <c r="J416">
        <v>360</v>
      </c>
      <c r="K416">
        <v>0</v>
      </c>
      <c r="L416" t="s">
        <v>27</v>
      </c>
      <c r="M416" t="s">
        <v>19</v>
      </c>
      <c r="N416">
        <f t="shared" si="36"/>
        <v>5386</v>
      </c>
      <c r="O416" t="str">
        <f t="shared" si="37"/>
        <v>Medium</v>
      </c>
      <c r="P416" s="4">
        <f t="shared" si="38"/>
        <v>3.3048644634236908E-2</v>
      </c>
      <c r="Q416" t="str">
        <f t="shared" si="39"/>
        <v>Medium</v>
      </c>
      <c r="R416" s="19">
        <f t="shared" si="40"/>
        <v>0</v>
      </c>
      <c r="S416" t="str">
        <f t="shared" si="41"/>
        <v>3</v>
      </c>
    </row>
    <row r="417" spans="1:19" x14ac:dyDescent="0.25">
      <c r="A417" t="s">
        <v>436</v>
      </c>
      <c r="B417" t="s">
        <v>38</v>
      </c>
      <c r="C417" t="s">
        <v>12</v>
      </c>
      <c r="D417">
        <v>0</v>
      </c>
      <c r="E417" t="s">
        <v>13</v>
      </c>
      <c r="F417" t="s">
        <v>12</v>
      </c>
      <c r="G417" s="3">
        <v>2995</v>
      </c>
      <c r="H417" s="3">
        <v>0</v>
      </c>
      <c r="I417" s="3">
        <v>60</v>
      </c>
      <c r="J417">
        <v>360</v>
      </c>
      <c r="K417">
        <v>1</v>
      </c>
      <c r="L417" t="s">
        <v>14</v>
      </c>
      <c r="M417" t="s">
        <v>15</v>
      </c>
      <c r="N417">
        <f t="shared" si="36"/>
        <v>2995</v>
      </c>
      <c r="O417" t="str">
        <f t="shared" si="37"/>
        <v>Low</v>
      </c>
      <c r="P417" s="4">
        <f t="shared" si="38"/>
        <v>2.003338898163606E-2</v>
      </c>
      <c r="Q417" t="str">
        <f t="shared" si="39"/>
        <v>Small</v>
      </c>
      <c r="R417" s="19">
        <f t="shared" si="40"/>
        <v>1</v>
      </c>
      <c r="S417" t="str">
        <f t="shared" si="41"/>
        <v>1</v>
      </c>
    </row>
    <row r="418" spans="1:19" x14ac:dyDescent="0.25">
      <c r="A418" t="s">
        <v>437</v>
      </c>
      <c r="B418" t="s">
        <v>38</v>
      </c>
      <c r="C418" t="s">
        <v>12</v>
      </c>
      <c r="D418">
        <v>1</v>
      </c>
      <c r="E418" t="s">
        <v>13</v>
      </c>
      <c r="F418" t="s">
        <v>12</v>
      </c>
      <c r="G418" s="3">
        <v>2600</v>
      </c>
      <c r="H418" s="3">
        <v>0</v>
      </c>
      <c r="I418" s="3">
        <v>160</v>
      </c>
      <c r="J418">
        <v>360</v>
      </c>
      <c r="K418">
        <v>1</v>
      </c>
      <c r="L418" t="s">
        <v>14</v>
      </c>
      <c r="M418" t="s">
        <v>19</v>
      </c>
      <c r="N418">
        <f t="shared" si="36"/>
        <v>2600</v>
      </c>
      <c r="O418" t="str">
        <f t="shared" si="37"/>
        <v>Low</v>
      </c>
      <c r="P418" s="4">
        <f t="shared" si="38"/>
        <v>6.1538461538461542E-2</v>
      </c>
      <c r="Q418" t="str">
        <f t="shared" si="39"/>
        <v>Medium</v>
      </c>
      <c r="R418" s="19">
        <f t="shared" si="40"/>
        <v>0</v>
      </c>
      <c r="S418" t="str">
        <f t="shared" si="41"/>
        <v>1</v>
      </c>
    </row>
    <row r="419" spans="1:19" x14ac:dyDescent="0.25">
      <c r="A419" t="s">
        <v>438</v>
      </c>
      <c r="B419" t="s">
        <v>11</v>
      </c>
      <c r="C419" t="s">
        <v>17</v>
      </c>
      <c r="D419">
        <v>2</v>
      </c>
      <c r="E419" t="s">
        <v>13</v>
      </c>
      <c r="F419" t="s">
        <v>17</v>
      </c>
      <c r="G419" s="3">
        <v>1600</v>
      </c>
      <c r="H419" s="3">
        <v>20000</v>
      </c>
      <c r="I419" s="3">
        <v>239</v>
      </c>
      <c r="J419">
        <v>360</v>
      </c>
      <c r="K419">
        <v>1</v>
      </c>
      <c r="L419" t="s">
        <v>14</v>
      </c>
      <c r="M419" t="s">
        <v>19</v>
      </c>
      <c r="N419">
        <f t="shared" si="36"/>
        <v>21600</v>
      </c>
      <c r="O419" t="str">
        <f t="shared" si="37"/>
        <v>High</v>
      </c>
      <c r="P419" s="4">
        <f t="shared" si="38"/>
        <v>1.1064814814814816E-2</v>
      </c>
      <c r="Q419" t="str">
        <f t="shared" si="39"/>
        <v>Large</v>
      </c>
      <c r="R419" s="19">
        <f t="shared" si="40"/>
        <v>0</v>
      </c>
      <c r="S419" t="str">
        <f t="shared" si="41"/>
        <v>1</v>
      </c>
    </row>
    <row r="420" spans="1:19" x14ac:dyDescent="0.25">
      <c r="A420" t="s">
        <v>439</v>
      </c>
      <c r="B420" t="s">
        <v>11</v>
      </c>
      <c r="C420" t="s">
        <v>17</v>
      </c>
      <c r="D420">
        <v>0</v>
      </c>
      <c r="E420" t="s">
        <v>13</v>
      </c>
      <c r="F420" t="s">
        <v>12</v>
      </c>
      <c r="G420" s="3">
        <v>1025</v>
      </c>
      <c r="H420" s="3">
        <v>2773</v>
      </c>
      <c r="I420" s="3">
        <v>112</v>
      </c>
      <c r="J420">
        <v>360</v>
      </c>
      <c r="K420">
        <v>1</v>
      </c>
      <c r="L420" t="s">
        <v>18</v>
      </c>
      <c r="M420" t="s">
        <v>15</v>
      </c>
      <c r="N420">
        <f t="shared" si="36"/>
        <v>3798</v>
      </c>
      <c r="O420" t="str">
        <f t="shared" si="37"/>
        <v>Low</v>
      </c>
      <c r="P420" s="4">
        <f t="shared" si="38"/>
        <v>2.948920484465508E-2</v>
      </c>
      <c r="Q420" t="str">
        <f t="shared" si="39"/>
        <v>Medium</v>
      </c>
      <c r="R420" s="19">
        <f t="shared" si="40"/>
        <v>1</v>
      </c>
      <c r="S420" t="str">
        <f t="shared" si="41"/>
        <v>2</v>
      </c>
    </row>
    <row r="421" spans="1:19" x14ac:dyDescent="0.25">
      <c r="A421" t="s">
        <v>440</v>
      </c>
      <c r="B421" t="s">
        <v>11</v>
      </c>
      <c r="C421" t="s">
        <v>17</v>
      </c>
      <c r="D421">
        <v>0</v>
      </c>
      <c r="E421" t="s">
        <v>13</v>
      </c>
      <c r="F421" t="s">
        <v>12</v>
      </c>
      <c r="G421" s="3">
        <v>3246</v>
      </c>
      <c r="H421" s="3">
        <v>1417</v>
      </c>
      <c r="I421" s="3">
        <v>138</v>
      </c>
      <c r="J421">
        <v>360</v>
      </c>
      <c r="K421">
        <v>1</v>
      </c>
      <c r="L421" t="s">
        <v>27</v>
      </c>
      <c r="M421" t="s">
        <v>15</v>
      </c>
      <c r="N421">
        <f t="shared" si="36"/>
        <v>4663</v>
      </c>
      <c r="O421" t="str">
        <f t="shared" si="37"/>
        <v>Medium</v>
      </c>
      <c r="P421" s="4">
        <f t="shared" si="38"/>
        <v>2.9594681535492173E-2</v>
      </c>
      <c r="Q421" t="str">
        <f t="shared" si="39"/>
        <v>Medium</v>
      </c>
      <c r="R421" s="19">
        <f t="shared" si="40"/>
        <v>1</v>
      </c>
      <c r="S421" t="str">
        <f t="shared" si="41"/>
        <v>3</v>
      </c>
    </row>
    <row r="422" spans="1:19" x14ac:dyDescent="0.25">
      <c r="A422" t="s">
        <v>441</v>
      </c>
      <c r="B422" t="s">
        <v>11</v>
      </c>
      <c r="C422" t="s">
        <v>17</v>
      </c>
      <c r="D422">
        <v>0</v>
      </c>
      <c r="E422" t="s">
        <v>13</v>
      </c>
      <c r="F422" t="s">
        <v>12</v>
      </c>
      <c r="G422" s="3">
        <v>5829</v>
      </c>
      <c r="H422" s="3">
        <v>0</v>
      </c>
      <c r="I422" s="3">
        <v>138</v>
      </c>
      <c r="J422">
        <v>360</v>
      </c>
      <c r="K422">
        <v>1</v>
      </c>
      <c r="L422" t="s">
        <v>18</v>
      </c>
      <c r="M422" t="s">
        <v>15</v>
      </c>
      <c r="N422">
        <f t="shared" si="36"/>
        <v>5829</v>
      </c>
      <c r="O422" t="str">
        <f t="shared" si="37"/>
        <v>Medium</v>
      </c>
      <c r="P422" s="4">
        <f t="shared" si="38"/>
        <v>2.3674729799279464E-2</v>
      </c>
      <c r="Q422" t="str">
        <f t="shared" si="39"/>
        <v>Medium</v>
      </c>
      <c r="R422" s="19">
        <f t="shared" si="40"/>
        <v>1</v>
      </c>
      <c r="S422" t="str">
        <f t="shared" si="41"/>
        <v>2</v>
      </c>
    </row>
    <row r="423" spans="1:19" x14ac:dyDescent="0.25">
      <c r="A423" t="s">
        <v>442</v>
      </c>
      <c r="B423" t="s">
        <v>38</v>
      </c>
      <c r="C423" t="s">
        <v>12</v>
      </c>
      <c r="D423">
        <v>0</v>
      </c>
      <c r="E423" t="s">
        <v>22</v>
      </c>
      <c r="F423" t="s">
        <v>12</v>
      </c>
      <c r="G423" s="3">
        <v>2720</v>
      </c>
      <c r="H423" s="3">
        <v>0</v>
      </c>
      <c r="I423" s="3">
        <v>80</v>
      </c>
      <c r="J423">
        <v>360</v>
      </c>
      <c r="K423">
        <v>0</v>
      </c>
      <c r="L423" t="s">
        <v>14</v>
      </c>
      <c r="M423" t="s">
        <v>19</v>
      </c>
      <c r="N423">
        <f t="shared" si="36"/>
        <v>2720</v>
      </c>
      <c r="O423" t="str">
        <f t="shared" si="37"/>
        <v>Low</v>
      </c>
      <c r="P423" s="4">
        <f t="shared" si="38"/>
        <v>2.9411764705882353E-2</v>
      </c>
      <c r="Q423" t="str">
        <f t="shared" si="39"/>
        <v>Small</v>
      </c>
      <c r="R423" s="19">
        <f t="shared" si="40"/>
        <v>0</v>
      </c>
      <c r="S423" t="str">
        <f t="shared" si="41"/>
        <v>1</v>
      </c>
    </row>
    <row r="424" spans="1:19" x14ac:dyDescent="0.25">
      <c r="A424" t="s">
        <v>443</v>
      </c>
      <c r="B424" t="s">
        <v>11</v>
      </c>
      <c r="C424" t="s">
        <v>17</v>
      </c>
      <c r="D424">
        <v>0</v>
      </c>
      <c r="E424" t="s">
        <v>13</v>
      </c>
      <c r="F424" t="s">
        <v>12</v>
      </c>
      <c r="G424" s="3">
        <v>1820</v>
      </c>
      <c r="H424" s="3">
        <v>1719</v>
      </c>
      <c r="I424" s="3">
        <v>100</v>
      </c>
      <c r="J424">
        <v>360</v>
      </c>
      <c r="K424">
        <v>1</v>
      </c>
      <c r="L424" t="s">
        <v>14</v>
      </c>
      <c r="M424" t="s">
        <v>15</v>
      </c>
      <c r="N424">
        <f t="shared" si="36"/>
        <v>3539</v>
      </c>
      <c r="O424" t="str">
        <f t="shared" si="37"/>
        <v>Low</v>
      </c>
      <c r="P424" s="4">
        <f t="shared" si="38"/>
        <v>2.8256569652444195E-2</v>
      </c>
      <c r="Q424" t="str">
        <f t="shared" si="39"/>
        <v>Medium</v>
      </c>
      <c r="R424" s="19">
        <f t="shared" si="40"/>
        <v>1</v>
      </c>
      <c r="S424" t="str">
        <f t="shared" si="41"/>
        <v>1</v>
      </c>
    </row>
    <row r="425" spans="1:19" x14ac:dyDescent="0.25">
      <c r="A425" t="s">
        <v>444</v>
      </c>
      <c r="B425" t="s">
        <v>11</v>
      </c>
      <c r="C425" t="s">
        <v>17</v>
      </c>
      <c r="D425">
        <v>1</v>
      </c>
      <c r="E425" t="s">
        <v>13</v>
      </c>
      <c r="F425" t="s">
        <v>12</v>
      </c>
      <c r="G425" s="3">
        <v>7250</v>
      </c>
      <c r="H425" s="3">
        <v>1667</v>
      </c>
      <c r="I425" s="3">
        <v>110</v>
      </c>
      <c r="J425">
        <v>360</v>
      </c>
      <c r="K425">
        <v>0</v>
      </c>
      <c r="L425" t="s">
        <v>14</v>
      </c>
      <c r="M425" t="s">
        <v>19</v>
      </c>
      <c r="N425">
        <f t="shared" si="36"/>
        <v>8917</v>
      </c>
      <c r="O425" t="str">
        <f t="shared" si="37"/>
        <v>High</v>
      </c>
      <c r="P425" s="4">
        <f t="shared" si="38"/>
        <v>1.233598743972188E-2</v>
      </c>
      <c r="Q425" t="str">
        <f t="shared" si="39"/>
        <v>Medium</v>
      </c>
      <c r="R425" s="19">
        <f t="shared" si="40"/>
        <v>0</v>
      </c>
      <c r="S425" t="str">
        <f t="shared" si="41"/>
        <v>1</v>
      </c>
    </row>
    <row r="426" spans="1:19" x14ac:dyDescent="0.25">
      <c r="A426" t="s">
        <v>445</v>
      </c>
      <c r="B426" t="s">
        <v>11</v>
      </c>
      <c r="C426" t="s">
        <v>17</v>
      </c>
      <c r="D426">
        <v>0</v>
      </c>
      <c r="E426" t="s">
        <v>13</v>
      </c>
      <c r="F426" t="s">
        <v>12</v>
      </c>
      <c r="G426" s="3">
        <v>14880</v>
      </c>
      <c r="H426" s="3">
        <v>0</v>
      </c>
      <c r="I426" s="3">
        <v>96</v>
      </c>
      <c r="J426">
        <v>360</v>
      </c>
      <c r="K426">
        <v>1</v>
      </c>
      <c r="L426" t="s">
        <v>27</v>
      </c>
      <c r="M426" t="s">
        <v>15</v>
      </c>
      <c r="N426">
        <f t="shared" si="36"/>
        <v>14880</v>
      </c>
      <c r="O426" t="str">
        <f t="shared" si="37"/>
        <v>High</v>
      </c>
      <c r="P426" s="4">
        <f t="shared" si="38"/>
        <v>6.4516129032258064E-3</v>
      </c>
      <c r="Q426" t="str">
        <f t="shared" si="39"/>
        <v>Small</v>
      </c>
      <c r="R426" s="19">
        <f t="shared" si="40"/>
        <v>1</v>
      </c>
      <c r="S426" t="str">
        <f t="shared" si="41"/>
        <v>3</v>
      </c>
    </row>
    <row r="427" spans="1:19" x14ac:dyDescent="0.25">
      <c r="A427" t="s">
        <v>446</v>
      </c>
      <c r="B427" t="s">
        <v>11</v>
      </c>
      <c r="C427" t="s">
        <v>17</v>
      </c>
      <c r="D427">
        <v>0</v>
      </c>
      <c r="E427" t="s">
        <v>13</v>
      </c>
      <c r="F427" t="s">
        <v>12</v>
      </c>
      <c r="G427" s="3">
        <v>2666</v>
      </c>
      <c r="H427" s="3">
        <v>4300</v>
      </c>
      <c r="I427" s="3">
        <v>121</v>
      </c>
      <c r="J427">
        <v>360</v>
      </c>
      <c r="K427">
        <v>1</v>
      </c>
      <c r="L427" t="s">
        <v>18</v>
      </c>
      <c r="M427" t="s">
        <v>15</v>
      </c>
      <c r="N427">
        <f t="shared" si="36"/>
        <v>6966</v>
      </c>
      <c r="O427" t="str">
        <f t="shared" si="37"/>
        <v>Medium</v>
      </c>
      <c r="P427" s="4">
        <f t="shared" si="38"/>
        <v>1.7370083261556129E-2</v>
      </c>
      <c r="Q427" t="str">
        <f t="shared" si="39"/>
        <v>Medium</v>
      </c>
      <c r="R427" s="19">
        <f t="shared" si="40"/>
        <v>1</v>
      </c>
      <c r="S427" t="str">
        <f t="shared" si="41"/>
        <v>2</v>
      </c>
    </row>
    <row r="428" spans="1:19" x14ac:dyDescent="0.25">
      <c r="A428" t="s">
        <v>447</v>
      </c>
      <c r="B428" t="s">
        <v>38</v>
      </c>
      <c r="C428" t="s">
        <v>12</v>
      </c>
      <c r="D428">
        <v>1</v>
      </c>
      <c r="E428" t="s">
        <v>22</v>
      </c>
      <c r="F428" t="s">
        <v>12</v>
      </c>
      <c r="G428" s="3">
        <v>4606</v>
      </c>
      <c r="H428" s="3">
        <v>0</v>
      </c>
      <c r="I428" s="3">
        <v>81</v>
      </c>
      <c r="J428">
        <v>360</v>
      </c>
      <c r="K428">
        <v>1</v>
      </c>
      <c r="L428" t="s">
        <v>18</v>
      </c>
      <c r="M428" t="s">
        <v>19</v>
      </c>
      <c r="N428">
        <f t="shared" si="36"/>
        <v>4606</v>
      </c>
      <c r="O428" t="str">
        <f t="shared" si="37"/>
        <v>Medium</v>
      </c>
      <c r="P428" s="4">
        <f t="shared" si="38"/>
        <v>1.7585757707338254E-2</v>
      </c>
      <c r="Q428" t="str">
        <f t="shared" si="39"/>
        <v>Small</v>
      </c>
      <c r="R428" s="19">
        <f t="shared" si="40"/>
        <v>0</v>
      </c>
      <c r="S428" t="str">
        <f t="shared" si="41"/>
        <v>2</v>
      </c>
    </row>
    <row r="429" spans="1:19" x14ac:dyDescent="0.25">
      <c r="A429" t="s">
        <v>448</v>
      </c>
      <c r="B429" t="s">
        <v>11</v>
      </c>
      <c r="C429" t="s">
        <v>17</v>
      </c>
      <c r="D429">
        <v>2</v>
      </c>
      <c r="E429" t="s">
        <v>13</v>
      </c>
      <c r="F429" t="s">
        <v>12</v>
      </c>
      <c r="G429" s="3">
        <v>5935</v>
      </c>
      <c r="H429" s="3">
        <v>0</v>
      </c>
      <c r="I429" s="3">
        <v>133</v>
      </c>
      <c r="J429">
        <v>360</v>
      </c>
      <c r="K429">
        <v>1</v>
      </c>
      <c r="L429" t="s">
        <v>27</v>
      </c>
      <c r="M429" t="s">
        <v>15</v>
      </c>
      <c r="N429">
        <f t="shared" si="36"/>
        <v>5935</v>
      </c>
      <c r="O429" t="str">
        <f t="shared" si="37"/>
        <v>Medium</v>
      </c>
      <c r="P429" s="4">
        <f t="shared" si="38"/>
        <v>2.2409435551811289E-2</v>
      </c>
      <c r="Q429" t="str">
        <f t="shared" si="39"/>
        <v>Medium</v>
      </c>
      <c r="R429" s="19">
        <f t="shared" si="40"/>
        <v>1</v>
      </c>
      <c r="S429" t="str">
        <f t="shared" si="41"/>
        <v>3</v>
      </c>
    </row>
    <row r="430" spans="1:19" x14ac:dyDescent="0.25">
      <c r="A430" t="s">
        <v>449</v>
      </c>
      <c r="B430" t="s">
        <v>11</v>
      </c>
      <c r="C430" t="s">
        <v>17</v>
      </c>
      <c r="D430">
        <v>0</v>
      </c>
      <c r="E430" t="s">
        <v>13</v>
      </c>
      <c r="F430" t="s">
        <v>12</v>
      </c>
      <c r="G430" s="3">
        <v>2920</v>
      </c>
      <c r="H430" s="3">
        <v>16.120000839999999</v>
      </c>
      <c r="I430" s="3">
        <v>87</v>
      </c>
      <c r="J430">
        <v>360</v>
      </c>
      <c r="K430">
        <v>1</v>
      </c>
      <c r="L430" t="s">
        <v>18</v>
      </c>
      <c r="M430" t="s">
        <v>15</v>
      </c>
      <c r="N430">
        <f t="shared" si="36"/>
        <v>2936.1200008400001</v>
      </c>
      <c r="O430" t="str">
        <f t="shared" si="37"/>
        <v>Low</v>
      </c>
      <c r="P430" s="4">
        <f t="shared" si="38"/>
        <v>2.9630941506174818E-2</v>
      </c>
      <c r="Q430" t="str">
        <f t="shared" si="39"/>
        <v>Small</v>
      </c>
      <c r="R430" s="19">
        <f t="shared" si="40"/>
        <v>1</v>
      </c>
      <c r="S430" t="str">
        <f t="shared" si="41"/>
        <v>2</v>
      </c>
    </row>
    <row r="431" spans="1:19" x14ac:dyDescent="0.25">
      <c r="A431" t="s">
        <v>450</v>
      </c>
      <c r="B431" t="s">
        <v>11</v>
      </c>
      <c r="C431" t="s">
        <v>12</v>
      </c>
      <c r="D431">
        <v>0</v>
      </c>
      <c r="E431" t="s">
        <v>22</v>
      </c>
      <c r="F431" t="s">
        <v>12</v>
      </c>
      <c r="G431" s="3">
        <v>2717</v>
      </c>
      <c r="H431" s="3">
        <v>0</v>
      </c>
      <c r="I431" s="3">
        <v>60</v>
      </c>
      <c r="J431">
        <v>180</v>
      </c>
      <c r="K431">
        <v>1</v>
      </c>
      <c r="L431" t="s">
        <v>14</v>
      </c>
      <c r="M431" t="s">
        <v>15</v>
      </c>
      <c r="N431">
        <f t="shared" si="36"/>
        <v>2717</v>
      </c>
      <c r="O431" t="str">
        <f t="shared" si="37"/>
        <v>Low</v>
      </c>
      <c r="P431" s="4">
        <f t="shared" si="38"/>
        <v>2.2083179977916818E-2</v>
      </c>
      <c r="Q431" t="str">
        <f t="shared" si="39"/>
        <v>Small</v>
      </c>
      <c r="R431" s="19">
        <f t="shared" si="40"/>
        <v>1</v>
      </c>
      <c r="S431" t="str">
        <f t="shared" si="41"/>
        <v>1</v>
      </c>
    </row>
    <row r="432" spans="1:19" x14ac:dyDescent="0.25">
      <c r="A432" t="s">
        <v>451</v>
      </c>
      <c r="B432" t="s">
        <v>38</v>
      </c>
      <c r="C432" t="s">
        <v>12</v>
      </c>
      <c r="D432">
        <v>1</v>
      </c>
      <c r="E432" t="s">
        <v>13</v>
      </c>
      <c r="F432" t="s">
        <v>17</v>
      </c>
      <c r="G432" s="3">
        <v>8624</v>
      </c>
      <c r="H432" s="3">
        <v>0</v>
      </c>
      <c r="I432" s="3">
        <v>150</v>
      </c>
      <c r="J432">
        <v>360</v>
      </c>
      <c r="K432">
        <v>1</v>
      </c>
      <c r="L432" t="s">
        <v>27</v>
      </c>
      <c r="M432" t="s">
        <v>15</v>
      </c>
      <c r="N432">
        <f t="shared" si="36"/>
        <v>8624</v>
      </c>
      <c r="O432" t="str">
        <f t="shared" si="37"/>
        <v>High</v>
      </c>
      <c r="P432" s="4">
        <f t="shared" si="38"/>
        <v>1.7393320964749538E-2</v>
      </c>
      <c r="Q432" t="str">
        <f t="shared" si="39"/>
        <v>Medium</v>
      </c>
      <c r="R432" s="19">
        <f t="shared" si="40"/>
        <v>1</v>
      </c>
      <c r="S432" t="str">
        <f t="shared" si="41"/>
        <v>3</v>
      </c>
    </row>
    <row r="433" spans="1:19" x14ac:dyDescent="0.25">
      <c r="A433" t="s">
        <v>452</v>
      </c>
      <c r="B433" t="s">
        <v>11</v>
      </c>
      <c r="C433" t="s">
        <v>12</v>
      </c>
      <c r="D433">
        <v>0</v>
      </c>
      <c r="E433" t="s">
        <v>13</v>
      </c>
      <c r="F433" t="s">
        <v>12</v>
      </c>
      <c r="G433" s="3">
        <v>6500</v>
      </c>
      <c r="H433" s="3">
        <v>0</v>
      </c>
      <c r="I433" s="3">
        <v>105</v>
      </c>
      <c r="J433">
        <v>360</v>
      </c>
      <c r="K433">
        <v>0</v>
      </c>
      <c r="L433" t="s">
        <v>18</v>
      </c>
      <c r="M433" t="s">
        <v>19</v>
      </c>
      <c r="N433">
        <f t="shared" si="36"/>
        <v>6500</v>
      </c>
      <c r="O433" t="str">
        <f t="shared" si="37"/>
        <v>Medium</v>
      </c>
      <c r="P433" s="4">
        <f t="shared" si="38"/>
        <v>1.6153846153846154E-2</v>
      </c>
      <c r="Q433" t="str">
        <f t="shared" si="39"/>
        <v>Medium</v>
      </c>
      <c r="R433" s="19">
        <f t="shared" si="40"/>
        <v>0</v>
      </c>
      <c r="S433" t="str">
        <f t="shared" si="41"/>
        <v>2</v>
      </c>
    </row>
    <row r="434" spans="1:19" x14ac:dyDescent="0.25">
      <c r="A434" t="s">
        <v>453</v>
      </c>
      <c r="B434" t="s">
        <v>11</v>
      </c>
      <c r="C434" t="s">
        <v>12</v>
      </c>
      <c r="D434">
        <v>0</v>
      </c>
      <c r="E434" t="s">
        <v>13</v>
      </c>
      <c r="F434" t="s">
        <v>12</v>
      </c>
      <c r="G434" s="3">
        <v>12876</v>
      </c>
      <c r="H434" s="3">
        <v>0</v>
      </c>
      <c r="I434" s="3">
        <v>405</v>
      </c>
      <c r="J434">
        <v>360</v>
      </c>
      <c r="K434">
        <v>1</v>
      </c>
      <c r="L434" t="s">
        <v>27</v>
      </c>
      <c r="M434" t="s">
        <v>15</v>
      </c>
      <c r="N434">
        <f t="shared" si="36"/>
        <v>12876</v>
      </c>
      <c r="O434" t="str">
        <f t="shared" si="37"/>
        <v>High</v>
      </c>
      <c r="P434" s="4">
        <f t="shared" si="38"/>
        <v>3.1453867660764211E-2</v>
      </c>
      <c r="Q434" t="str">
        <f t="shared" si="39"/>
        <v>Large</v>
      </c>
      <c r="R434" s="19">
        <f t="shared" si="40"/>
        <v>1</v>
      </c>
      <c r="S434" t="str">
        <f t="shared" si="41"/>
        <v>3</v>
      </c>
    </row>
    <row r="435" spans="1:19" x14ac:dyDescent="0.25">
      <c r="A435" t="s">
        <v>454</v>
      </c>
      <c r="B435" t="s">
        <v>11</v>
      </c>
      <c r="C435" t="s">
        <v>17</v>
      </c>
      <c r="D435">
        <v>0</v>
      </c>
      <c r="E435" t="s">
        <v>13</v>
      </c>
      <c r="F435" t="s">
        <v>12</v>
      </c>
      <c r="G435" s="3">
        <v>2425</v>
      </c>
      <c r="H435" s="3">
        <v>2340</v>
      </c>
      <c r="I435" s="3">
        <v>143</v>
      </c>
      <c r="J435">
        <v>360</v>
      </c>
      <c r="K435">
        <v>1</v>
      </c>
      <c r="L435" t="s">
        <v>27</v>
      </c>
      <c r="M435" t="s">
        <v>15</v>
      </c>
      <c r="N435">
        <f t="shared" si="36"/>
        <v>4765</v>
      </c>
      <c r="O435" t="str">
        <f t="shared" si="37"/>
        <v>Medium</v>
      </c>
      <c r="P435" s="4">
        <f t="shared" si="38"/>
        <v>3.0010493179433367E-2</v>
      </c>
      <c r="Q435" t="str">
        <f t="shared" si="39"/>
        <v>Medium</v>
      </c>
      <c r="R435" s="19">
        <f t="shared" si="40"/>
        <v>1</v>
      </c>
      <c r="S435" t="str">
        <f t="shared" si="41"/>
        <v>3</v>
      </c>
    </row>
    <row r="436" spans="1:19" x14ac:dyDescent="0.25">
      <c r="A436" t="s">
        <v>455</v>
      </c>
      <c r="B436" t="s">
        <v>11</v>
      </c>
      <c r="C436" t="s">
        <v>12</v>
      </c>
      <c r="D436">
        <v>0</v>
      </c>
      <c r="E436" t="s">
        <v>13</v>
      </c>
      <c r="F436" t="s">
        <v>12</v>
      </c>
      <c r="G436" s="3">
        <v>3750</v>
      </c>
      <c r="H436" s="3">
        <v>0</v>
      </c>
      <c r="I436" s="3">
        <v>100</v>
      </c>
      <c r="J436">
        <v>360</v>
      </c>
      <c r="K436">
        <v>1</v>
      </c>
      <c r="L436" t="s">
        <v>14</v>
      </c>
      <c r="M436" t="s">
        <v>15</v>
      </c>
      <c r="N436">
        <f t="shared" si="36"/>
        <v>3750</v>
      </c>
      <c r="O436" t="str">
        <f t="shared" si="37"/>
        <v>Low</v>
      </c>
      <c r="P436" s="4">
        <f t="shared" si="38"/>
        <v>2.6666666666666668E-2</v>
      </c>
      <c r="Q436" t="str">
        <f t="shared" si="39"/>
        <v>Medium</v>
      </c>
      <c r="R436" s="19">
        <f t="shared" si="40"/>
        <v>1</v>
      </c>
      <c r="S436" t="str">
        <f t="shared" si="41"/>
        <v>1</v>
      </c>
    </row>
    <row r="437" spans="1:19" x14ac:dyDescent="0.25">
      <c r="A437" t="s">
        <v>456</v>
      </c>
      <c r="B437" t="s">
        <v>38</v>
      </c>
      <c r="C437" t="s">
        <v>12</v>
      </c>
      <c r="D437">
        <v>0</v>
      </c>
      <c r="E437" t="s">
        <v>13</v>
      </c>
      <c r="F437" t="s">
        <v>12</v>
      </c>
      <c r="G437" s="3">
        <v>10047</v>
      </c>
      <c r="H437" s="3">
        <v>0</v>
      </c>
      <c r="I437" s="3">
        <v>0</v>
      </c>
      <c r="J437">
        <v>240</v>
      </c>
      <c r="K437">
        <v>1</v>
      </c>
      <c r="L437" t="s">
        <v>27</v>
      </c>
      <c r="M437" t="s">
        <v>15</v>
      </c>
      <c r="N437">
        <f t="shared" si="36"/>
        <v>10047</v>
      </c>
      <c r="O437" t="str">
        <f t="shared" si="37"/>
        <v>High</v>
      </c>
      <c r="P437" s="4">
        <f t="shared" si="38"/>
        <v>0</v>
      </c>
      <c r="Q437" t="str">
        <f t="shared" si="39"/>
        <v>Small</v>
      </c>
      <c r="R437" s="19">
        <f t="shared" si="40"/>
        <v>1</v>
      </c>
      <c r="S437" t="str">
        <f t="shared" si="41"/>
        <v>3</v>
      </c>
    </row>
    <row r="438" spans="1:19" x14ac:dyDescent="0.25">
      <c r="A438" t="s">
        <v>457</v>
      </c>
      <c r="B438" t="s">
        <v>11</v>
      </c>
      <c r="C438" t="s">
        <v>12</v>
      </c>
      <c r="D438">
        <v>0</v>
      </c>
      <c r="E438" t="s">
        <v>13</v>
      </c>
      <c r="F438" t="s">
        <v>12</v>
      </c>
      <c r="G438" s="3">
        <v>1926</v>
      </c>
      <c r="H438" s="3">
        <v>1851</v>
      </c>
      <c r="I438" s="3">
        <v>50</v>
      </c>
      <c r="J438">
        <v>360</v>
      </c>
      <c r="K438">
        <v>1</v>
      </c>
      <c r="L438" t="s">
        <v>27</v>
      </c>
      <c r="M438" t="s">
        <v>15</v>
      </c>
      <c r="N438">
        <f t="shared" si="36"/>
        <v>3777</v>
      </c>
      <c r="O438" t="str">
        <f t="shared" si="37"/>
        <v>Low</v>
      </c>
      <c r="P438" s="4">
        <f t="shared" si="38"/>
        <v>1.3238019592268996E-2</v>
      </c>
      <c r="Q438" t="str">
        <f t="shared" si="39"/>
        <v>Small</v>
      </c>
      <c r="R438" s="19">
        <f t="shared" si="40"/>
        <v>1</v>
      </c>
      <c r="S438" t="str">
        <f t="shared" si="41"/>
        <v>3</v>
      </c>
    </row>
    <row r="439" spans="1:19" x14ac:dyDescent="0.25">
      <c r="A439" t="s">
        <v>458</v>
      </c>
      <c r="B439" t="s">
        <v>11</v>
      </c>
      <c r="C439" t="s">
        <v>17</v>
      </c>
      <c r="D439">
        <v>0</v>
      </c>
      <c r="E439" t="s">
        <v>13</v>
      </c>
      <c r="F439" t="s">
        <v>12</v>
      </c>
      <c r="G439" s="3">
        <v>2213</v>
      </c>
      <c r="H439" s="3">
        <v>1125</v>
      </c>
      <c r="I439" s="3">
        <v>0</v>
      </c>
      <c r="J439">
        <v>360</v>
      </c>
      <c r="K439">
        <v>1</v>
      </c>
      <c r="L439" t="s">
        <v>14</v>
      </c>
      <c r="M439" t="s">
        <v>15</v>
      </c>
      <c r="N439">
        <f t="shared" si="36"/>
        <v>3338</v>
      </c>
      <c r="O439" t="str">
        <f t="shared" si="37"/>
        <v>Low</v>
      </c>
      <c r="P439" s="4">
        <f t="shared" si="38"/>
        <v>0</v>
      </c>
      <c r="Q439" t="str">
        <f t="shared" si="39"/>
        <v>Small</v>
      </c>
      <c r="R439" s="19">
        <f t="shared" si="40"/>
        <v>1</v>
      </c>
      <c r="S439" t="str">
        <f t="shared" si="41"/>
        <v>1</v>
      </c>
    </row>
    <row r="440" spans="1:19" x14ac:dyDescent="0.25">
      <c r="A440" t="s">
        <v>459</v>
      </c>
      <c r="B440" t="s">
        <v>11</v>
      </c>
      <c r="C440" t="s">
        <v>12</v>
      </c>
      <c r="D440">
        <v>0</v>
      </c>
      <c r="E440" t="s">
        <v>13</v>
      </c>
      <c r="F440" t="s">
        <v>17</v>
      </c>
      <c r="G440" s="3">
        <v>10416</v>
      </c>
      <c r="H440" s="3">
        <v>0</v>
      </c>
      <c r="I440" s="3">
        <v>187</v>
      </c>
      <c r="J440">
        <v>360</v>
      </c>
      <c r="K440">
        <v>0</v>
      </c>
      <c r="L440" t="s">
        <v>14</v>
      </c>
      <c r="M440" t="s">
        <v>19</v>
      </c>
      <c r="N440">
        <f t="shared" si="36"/>
        <v>10416</v>
      </c>
      <c r="O440" t="str">
        <f t="shared" si="37"/>
        <v>High</v>
      </c>
      <c r="P440" s="4">
        <f t="shared" si="38"/>
        <v>1.7953149001536099E-2</v>
      </c>
      <c r="Q440" t="str">
        <f t="shared" si="39"/>
        <v>Medium</v>
      </c>
      <c r="R440" s="19">
        <f t="shared" si="40"/>
        <v>0</v>
      </c>
      <c r="S440" t="str">
        <f t="shared" si="41"/>
        <v>1</v>
      </c>
    </row>
    <row r="441" spans="1:19" x14ac:dyDescent="0.25">
      <c r="A441" t="s">
        <v>460</v>
      </c>
      <c r="B441" t="s">
        <v>38</v>
      </c>
      <c r="C441" t="s">
        <v>17</v>
      </c>
      <c r="D441">
        <v>0</v>
      </c>
      <c r="E441" t="s">
        <v>22</v>
      </c>
      <c r="F441" t="s">
        <v>17</v>
      </c>
      <c r="G441" s="3">
        <v>7142</v>
      </c>
      <c r="H441" s="3">
        <v>0</v>
      </c>
      <c r="I441" s="3">
        <v>138</v>
      </c>
      <c r="J441">
        <v>360</v>
      </c>
      <c r="K441">
        <v>1</v>
      </c>
      <c r="L441" t="s">
        <v>18</v>
      </c>
      <c r="M441" t="s">
        <v>15</v>
      </c>
      <c r="N441">
        <f t="shared" si="36"/>
        <v>7142</v>
      </c>
      <c r="O441" t="str">
        <f t="shared" si="37"/>
        <v>Medium</v>
      </c>
      <c r="P441" s="4">
        <f t="shared" si="38"/>
        <v>1.9322318678241388E-2</v>
      </c>
      <c r="Q441" t="str">
        <f t="shared" si="39"/>
        <v>Medium</v>
      </c>
      <c r="R441" s="19">
        <f t="shared" si="40"/>
        <v>1</v>
      </c>
      <c r="S441" t="str">
        <f t="shared" si="41"/>
        <v>2</v>
      </c>
    </row>
    <row r="442" spans="1:19" x14ac:dyDescent="0.25">
      <c r="A442" t="s">
        <v>461</v>
      </c>
      <c r="B442" t="s">
        <v>11</v>
      </c>
      <c r="C442" t="s">
        <v>12</v>
      </c>
      <c r="D442">
        <v>0</v>
      </c>
      <c r="E442" t="s">
        <v>13</v>
      </c>
      <c r="F442" t="s">
        <v>12</v>
      </c>
      <c r="G442" s="3">
        <v>3660</v>
      </c>
      <c r="H442" s="3">
        <v>5064</v>
      </c>
      <c r="I442" s="3">
        <v>187</v>
      </c>
      <c r="J442">
        <v>360</v>
      </c>
      <c r="K442">
        <v>1</v>
      </c>
      <c r="L442" t="s">
        <v>27</v>
      </c>
      <c r="M442" t="s">
        <v>15</v>
      </c>
      <c r="N442">
        <f t="shared" si="36"/>
        <v>8724</v>
      </c>
      <c r="O442" t="str">
        <f t="shared" si="37"/>
        <v>High</v>
      </c>
      <c r="P442" s="4">
        <f t="shared" si="38"/>
        <v>2.1435121503897293E-2</v>
      </c>
      <c r="Q442" t="str">
        <f t="shared" si="39"/>
        <v>Medium</v>
      </c>
      <c r="R442" s="19">
        <f t="shared" si="40"/>
        <v>1</v>
      </c>
      <c r="S442" t="str">
        <f t="shared" si="41"/>
        <v>3</v>
      </c>
    </row>
    <row r="443" spans="1:19" x14ac:dyDescent="0.25">
      <c r="A443" t="s">
        <v>462</v>
      </c>
      <c r="B443" t="s">
        <v>11</v>
      </c>
      <c r="C443" t="s">
        <v>17</v>
      </c>
      <c r="D443">
        <v>0</v>
      </c>
      <c r="E443" t="s">
        <v>13</v>
      </c>
      <c r="F443" t="s">
        <v>12</v>
      </c>
      <c r="G443" s="3">
        <v>7901</v>
      </c>
      <c r="H443" s="3">
        <v>1833</v>
      </c>
      <c r="I443" s="3">
        <v>180</v>
      </c>
      <c r="J443">
        <v>360</v>
      </c>
      <c r="K443">
        <v>1</v>
      </c>
      <c r="L443" t="s">
        <v>18</v>
      </c>
      <c r="M443" t="s">
        <v>15</v>
      </c>
      <c r="N443">
        <f t="shared" si="36"/>
        <v>9734</v>
      </c>
      <c r="O443" t="str">
        <f t="shared" si="37"/>
        <v>High</v>
      </c>
      <c r="P443" s="4">
        <f t="shared" si="38"/>
        <v>1.8491884117526197E-2</v>
      </c>
      <c r="Q443" t="str">
        <f t="shared" si="39"/>
        <v>Medium</v>
      </c>
      <c r="R443" s="19">
        <f t="shared" si="40"/>
        <v>1</v>
      </c>
      <c r="S443" t="str">
        <f t="shared" si="41"/>
        <v>2</v>
      </c>
    </row>
    <row r="444" spans="1:19" x14ac:dyDescent="0.25">
      <c r="A444" t="s">
        <v>463</v>
      </c>
      <c r="B444" t="s">
        <v>11</v>
      </c>
      <c r="C444" t="s">
        <v>12</v>
      </c>
      <c r="D444">
        <v>3</v>
      </c>
      <c r="E444" t="s">
        <v>22</v>
      </c>
      <c r="F444" t="s">
        <v>12</v>
      </c>
      <c r="G444" s="3">
        <v>4707</v>
      </c>
      <c r="H444" s="3">
        <v>1993</v>
      </c>
      <c r="I444" s="3">
        <v>148</v>
      </c>
      <c r="J444">
        <v>360</v>
      </c>
      <c r="K444">
        <v>1</v>
      </c>
      <c r="L444" t="s">
        <v>27</v>
      </c>
      <c r="M444" t="s">
        <v>15</v>
      </c>
      <c r="N444">
        <f t="shared" si="36"/>
        <v>6700</v>
      </c>
      <c r="O444" t="str">
        <f t="shared" si="37"/>
        <v>Medium</v>
      </c>
      <c r="P444" s="4">
        <f t="shared" si="38"/>
        <v>2.208955223880597E-2</v>
      </c>
      <c r="Q444" t="str">
        <f t="shared" si="39"/>
        <v>Medium</v>
      </c>
      <c r="R444" s="19">
        <f t="shared" si="40"/>
        <v>1</v>
      </c>
      <c r="S444" t="str">
        <f t="shared" si="41"/>
        <v>3</v>
      </c>
    </row>
    <row r="445" spans="1:19" x14ac:dyDescent="0.25">
      <c r="A445" t="s">
        <v>464</v>
      </c>
      <c r="B445" t="s">
        <v>11</v>
      </c>
      <c r="C445" t="s">
        <v>12</v>
      </c>
      <c r="D445">
        <v>1</v>
      </c>
      <c r="E445" t="s">
        <v>13</v>
      </c>
      <c r="F445" t="s">
        <v>12</v>
      </c>
      <c r="G445" s="3">
        <v>37719</v>
      </c>
      <c r="H445" s="3">
        <v>0</v>
      </c>
      <c r="I445" s="3">
        <v>152</v>
      </c>
      <c r="J445">
        <v>360</v>
      </c>
      <c r="K445">
        <v>1</v>
      </c>
      <c r="L445" t="s">
        <v>27</v>
      </c>
      <c r="M445" t="s">
        <v>15</v>
      </c>
      <c r="N445">
        <f t="shared" si="36"/>
        <v>37719</v>
      </c>
      <c r="O445" t="str">
        <f t="shared" si="37"/>
        <v>High</v>
      </c>
      <c r="P445" s="4">
        <f t="shared" si="38"/>
        <v>4.0297993053898563E-3</v>
      </c>
      <c r="Q445" t="str">
        <f t="shared" si="39"/>
        <v>Medium</v>
      </c>
      <c r="R445" s="19">
        <f t="shared" si="40"/>
        <v>1</v>
      </c>
      <c r="S445" t="str">
        <f t="shared" si="41"/>
        <v>3</v>
      </c>
    </row>
    <row r="446" spans="1:19" x14ac:dyDescent="0.25">
      <c r="A446" t="s">
        <v>465</v>
      </c>
      <c r="B446" t="s">
        <v>11</v>
      </c>
      <c r="C446" t="s">
        <v>17</v>
      </c>
      <c r="D446">
        <v>0</v>
      </c>
      <c r="E446" t="s">
        <v>13</v>
      </c>
      <c r="F446" t="s">
        <v>12</v>
      </c>
      <c r="G446" s="3">
        <v>7333</v>
      </c>
      <c r="H446" s="3">
        <v>8333</v>
      </c>
      <c r="I446" s="3">
        <v>175</v>
      </c>
      <c r="J446">
        <v>300</v>
      </c>
      <c r="K446">
        <v>1</v>
      </c>
      <c r="L446" t="s">
        <v>18</v>
      </c>
      <c r="M446" t="s">
        <v>15</v>
      </c>
      <c r="N446">
        <f t="shared" si="36"/>
        <v>15666</v>
      </c>
      <c r="O446" t="str">
        <f t="shared" si="37"/>
        <v>High</v>
      </c>
      <c r="P446" s="4">
        <f t="shared" si="38"/>
        <v>1.1170688114387846E-2</v>
      </c>
      <c r="Q446" t="str">
        <f t="shared" si="39"/>
        <v>Medium</v>
      </c>
      <c r="R446" s="19">
        <f t="shared" si="40"/>
        <v>1</v>
      </c>
      <c r="S446" t="str">
        <f t="shared" si="41"/>
        <v>2</v>
      </c>
    </row>
    <row r="447" spans="1:19" x14ac:dyDescent="0.25">
      <c r="A447" t="s">
        <v>466</v>
      </c>
      <c r="B447" t="s">
        <v>11</v>
      </c>
      <c r="C447" t="s">
        <v>17</v>
      </c>
      <c r="D447">
        <v>1</v>
      </c>
      <c r="E447" t="s">
        <v>13</v>
      </c>
      <c r="F447" t="s">
        <v>17</v>
      </c>
      <c r="G447" s="3">
        <v>3466</v>
      </c>
      <c r="H447" s="3">
        <v>1210</v>
      </c>
      <c r="I447" s="3">
        <v>130</v>
      </c>
      <c r="J447">
        <v>360</v>
      </c>
      <c r="K447">
        <v>1</v>
      </c>
      <c r="L447" t="s">
        <v>18</v>
      </c>
      <c r="M447" t="s">
        <v>15</v>
      </c>
      <c r="N447">
        <f t="shared" si="36"/>
        <v>4676</v>
      </c>
      <c r="O447" t="str">
        <f t="shared" si="37"/>
        <v>Medium</v>
      </c>
      <c r="P447" s="4">
        <f t="shared" si="38"/>
        <v>2.7801539777587682E-2</v>
      </c>
      <c r="Q447" t="str">
        <f t="shared" si="39"/>
        <v>Medium</v>
      </c>
      <c r="R447" s="19">
        <f t="shared" si="40"/>
        <v>1</v>
      </c>
      <c r="S447" t="str">
        <f t="shared" si="41"/>
        <v>2</v>
      </c>
    </row>
    <row r="448" spans="1:19" x14ac:dyDescent="0.25">
      <c r="A448" t="s">
        <v>467</v>
      </c>
      <c r="B448" t="s">
        <v>11</v>
      </c>
      <c r="C448" t="s">
        <v>17</v>
      </c>
      <c r="D448">
        <v>2</v>
      </c>
      <c r="E448" t="s">
        <v>22</v>
      </c>
      <c r="F448" t="s">
        <v>12</v>
      </c>
      <c r="G448" s="3">
        <v>4652</v>
      </c>
      <c r="H448" s="3">
        <v>0</v>
      </c>
      <c r="I448" s="3">
        <v>110</v>
      </c>
      <c r="J448">
        <v>360</v>
      </c>
      <c r="K448">
        <v>1</v>
      </c>
      <c r="L448" t="s">
        <v>18</v>
      </c>
      <c r="M448" t="s">
        <v>15</v>
      </c>
      <c r="N448">
        <f t="shared" si="36"/>
        <v>4652</v>
      </c>
      <c r="O448" t="str">
        <f t="shared" si="37"/>
        <v>Medium</v>
      </c>
      <c r="P448" s="4">
        <f t="shared" si="38"/>
        <v>2.3645743766122097E-2</v>
      </c>
      <c r="Q448" t="str">
        <f t="shared" si="39"/>
        <v>Medium</v>
      </c>
      <c r="R448" s="19">
        <f t="shared" si="40"/>
        <v>1</v>
      </c>
      <c r="S448" t="str">
        <f t="shared" si="41"/>
        <v>2</v>
      </c>
    </row>
    <row r="449" spans="1:19" x14ac:dyDescent="0.25">
      <c r="A449" t="s">
        <v>468</v>
      </c>
      <c r="B449" t="s">
        <v>11</v>
      </c>
      <c r="C449" t="s">
        <v>17</v>
      </c>
      <c r="D449">
        <v>0</v>
      </c>
      <c r="E449" t="s">
        <v>13</v>
      </c>
      <c r="F449" t="s">
        <v>12</v>
      </c>
      <c r="G449" s="3">
        <v>3539</v>
      </c>
      <c r="H449" s="3">
        <v>1376</v>
      </c>
      <c r="I449" s="3">
        <v>55</v>
      </c>
      <c r="J449">
        <v>360</v>
      </c>
      <c r="K449">
        <v>1</v>
      </c>
      <c r="L449" t="s">
        <v>18</v>
      </c>
      <c r="M449" t="s">
        <v>19</v>
      </c>
      <c r="N449">
        <f t="shared" si="36"/>
        <v>4915</v>
      </c>
      <c r="O449" t="str">
        <f t="shared" si="37"/>
        <v>Medium</v>
      </c>
      <c r="P449" s="4">
        <f t="shared" si="38"/>
        <v>1.1190233977619531E-2</v>
      </c>
      <c r="Q449" t="str">
        <f t="shared" si="39"/>
        <v>Small</v>
      </c>
      <c r="R449" s="19">
        <f t="shared" si="40"/>
        <v>0</v>
      </c>
      <c r="S449" t="str">
        <f t="shared" si="41"/>
        <v>2</v>
      </c>
    </row>
    <row r="450" spans="1:19" x14ac:dyDescent="0.25">
      <c r="A450" t="s">
        <v>469</v>
      </c>
      <c r="B450" t="s">
        <v>11</v>
      </c>
      <c r="C450" t="s">
        <v>17</v>
      </c>
      <c r="D450">
        <v>2</v>
      </c>
      <c r="E450" t="s">
        <v>13</v>
      </c>
      <c r="F450" t="s">
        <v>12</v>
      </c>
      <c r="G450" s="3">
        <v>3340</v>
      </c>
      <c r="H450" s="3">
        <v>1710</v>
      </c>
      <c r="I450" s="3">
        <v>150</v>
      </c>
      <c r="J450">
        <v>360</v>
      </c>
      <c r="K450">
        <v>0</v>
      </c>
      <c r="L450" t="s">
        <v>18</v>
      </c>
      <c r="M450" t="s">
        <v>19</v>
      </c>
      <c r="N450">
        <f t="shared" si="36"/>
        <v>5050</v>
      </c>
      <c r="O450" t="str">
        <f t="shared" si="37"/>
        <v>Medium</v>
      </c>
      <c r="P450" s="4">
        <f t="shared" si="38"/>
        <v>2.9702970297029702E-2</v>
      </c>
      <c r="Q450" t="str">
        <f t="shared" si="39"/>
        <v>Medium</v>
      </c>
      <c r="R450" s="19">
        <f t="shared" si="40"/>
        <v>0</v>
      </c>
      <c r="S450" t="str">
        <f t="shared" si="41"/>
        <v>2</v>
      </c>
    </row>
    <row r="451" spans="1:19" x14ac:dyDescent="0.25">
      <c r="A451" t="s">
        <v>470</v>
      </c>
      <c r="B451" t="s">
        <v>11</v>
      </c>
      <c r="C451" t="s">
        <v>12</v>
      </c>
      <c r="D451">
        <v>1</v>
      </c>
      <c r="E451" t="s">
        <v>22</v>
      </c>
      <c r="F451" t="s">
        <v>17</v>
      </c>
      <c r="G451" s="3">
        <v>2769</v>
      </c>
      <c r="H451" s="3">
        <v>1542</v>
      </c>
      <c r="I451" s="3">
        <v>190</v>
      </c>
      <c r="J451">
        <v>360</v>
      </c>
      <c r="K451">
        <v>0</v>
      </c>
      <c r="L451" t="s">
        <v>27</v>
      </c>
      <c r="M451" t="s">
        <v>19</v>
      </c>
      <c r="N451">
        <f t="shared" ref="N451:N514" si="42">G451+H451</f>
        <v>4311</v>
      </c>
      <c r="O451" t="str">
        <f t="shared" ref="O451:O514" si="43">IF(N451&lt;4000,"Low", IF(N451&lt;8000, "Medium", "High"))</f>
        <v>Medium</v>
      </c>
      <c r="P451" s="4">
        <f t="shared" ref="P451:P514" si="44">I451/N451</f>
        <v>4.4073300858269542E-2</v>
      </c>
      <c r="Q451" t="str">
        <f t="shared" ref="Q451:Q514" si="45">IF(I451&lt;100, "Small", IF(I451&lt;200, "Medium", "Large"))</f>
        <v>Medium</v>
      </c>
      <c r="R451" s="19">
        <f t="shared" ref="R451:R514" si="46">IF(M451="Y", 1*1, 1*0)</f>
        <v>0</v>
      </c>
      <c r="S451" t="str">
        <f t="shared" ref="S451:S514" si="47">IF(L451="Urban","1", IF(L451="Rural", "2", IF(L451="Semiurban","3")))</f>
        <v>3</v>
      </c>
    </row>
    <row r="452" spans="1:19" x14ac:dyDescent="0.25">
      <c r="A452" t="s">
        <v>471</v>
      </c>
      <c r="B452" t="s">
        <v>11</v>
      </c>
      <c r="C452" t="s">
        <v>17</v>
      </c>
      <c r="D452">
        <v>2</v>
      </c>
      <c r="E452" t="s">
        <v>22</v>
      </c>
      <c r="F452" t="s">
        <v>12</v>
      </c>
      <c r="G452" s="3">
        <v>2309</v>
      </c>
      <c r="H452" s="3">
        <v>1255</v>
      </c>
      <c r="I452" s="3">
        <v>125</v>
      </c>
      <c r="J452">
        <v>360</v>
      </c>
      <c r="K452">
        <v>0</v>
      </c>
      <c r="L452" t="s">
        <v>18</v>
      </c>
      <c r="M452" t="s">
        <v>19</v>
      </c>
      <c r="N452">
        <f t="shared" si="42"/>
        <v>3564</v>
      </c>
      <c r="O452" t="str">
        <f t="shared" si="43"/>
        <v>Low</v>
      </c>
      <c r="P452" s="4">
        <f t="shared" si="44"/>
        <v>3.5072951739618406E-2</v>
      </c>
      <c r="Q452" t="str">
        <f t="shared" si="45"/>
        <v>Medium</v>
      </c>
      <c r="R452" s="19">
        <f t="shared" si="46"/>
        <v>0</v>
      </c>
      <c r="S452" t="str">
        <f t="shared" si="47"/>
        <v>2</v>
      </c>
    </row>
    <row r="453" spans="1:19" x14ac:dyDescent="0.25">
      <c r="A453" t="s">
        <v>472</v>
      </c>
      <c r="B453" t="s">
        <v>11</v>
      </c>
      <c r="C453" t="s">
        <v>17</v>
      </c>
      <c r="D453">
        <v>2</v>
      </c>
      <c r="E453" t="s">
        <v>22</v>
      </c>
      <c r="F453" t="s">
        <v>12</v>
      </c>
      <c r="G453" s="3">
        <v>1958</v>
      </c>
      <c r="H453" s="3">
        <v>1456</v>
      </c>
      <c r="I453" s="3">
        <v>60</v>
      </c>
      <c r="J453">
        <v>300</v>
      </c>
      <c r="K453">
        <v>0</v>
      </c>
      <c r="L453" t="s">
        <v>14</v>
      </c>
      <c r="M453" t="s">
        <v>15</v>
      </c>
      <c r="N453">
        <f t="shared" si="42"/>
        <v>3414</v>
      </c>
      <c r="O453" t="str">
        <f t="shared" si="43"/>
        <v>Low</v>
      </c>
      <c r="P453" s="4">
        <f t="shared" si="44"/>
        <v>1.7574692442882251E-2</v>
      </c>
      <c r="Q453" t="str">
        <f t="shared" si="45"/>
        <v>Small</v>
      </c>
      <c r="R453" s="19">
        <f t="shared" si="46"/>
        <v>1</v>
      </c>
      <c r="S453" t="str">
        <f t="shared" si="47"/>
        <v>1</v>
      </c>
    </row>
    <row r="454" spans="1:19" x14ac:dyDescent="0.25">
      <c r="A454" t="s">
        <v>473</v>
      </c>
      <c r="B454" t="s">
        <v>11</v>
      </c>
      <c r="C454" t="s">
        <v>17</v>
      </c>
      <c r="D454">
        <v>0</v>
      </c>
      <c r="E454" t="s">
        <v>13</v>
      </c>
      <c r="F454" t="s">
        <v>12</v>
      </c>
      <c r="G454" s="3">
        <v>3948</v>
      </c>
      <c r="H454" s="3">
        <v>1733</v>
      </c>
      <c r="I454" s="3">
        <v>149</v>
      </c>
      <c r="J454">
        <v>360</v>
      </c>
      <c r="K454">
        <v>0</v>
      </c>
      <c r="L454" t="s">
        <v>18</v>
      </c>
      <c r="M454" t="s">
        <v>19</v>
      </c>
      <c r="N454">
        <f t="shared" si="42"/>
        <v>5681</v>
      </c>
      <c r="O454" t="str">
        <f t="shared" si="43"/>
        <v>Medium</v>
      </c>
      <c r="P454" s="4">
        <f t="shared" si="44"/>
        <v>2.622777679985918E-2</v>
      </c>
      <c r="Q454" t="str">
        <f t="shared" si="45"/>
        <v>Medium</v>
      </c>
      <c r="R454" s="19">
        <f t="shared" si="46"/>
        <v>0</v>
      </c>
      <c r="S454" t="str">
        <f t="shared" si="47"/>
        <v>2</v>
      </c>
    </row>
    <row r="455" spans="1:19" x14ac:dyDescent="0.25">
      <c r="A455" t="s">
        <v>474</v>
      </c>
      <c r="B455" t="s">
        <v>11</v>
      </c>
      <c r="C455" t="s">
        <v>17</v>
      </c>
      <c r="D455">
        <v>0</v>
      </c>
      <c r="E455" t="s">
        <v>13</v>
      </c>
      <c r="F455" t="s">
        <v>12</v>
      </c>
      <c r="G455" s="3">
        <v>2483</v>
      </c>
      <c r="H455" s="3">
        <v>2466</v>
      </c>
      <c r="I455" s="3">
        <v>90</v>
      </c>
      <c r="J455">
        <v>180</v>
      </c>
      <c r="K455">
        <v>0</v>
      </c>
      <c r="L455" t="s">
        <v>18</v>
      </c>
      <c r="M455" t="s">
        <v>15</v>
      </c>
      <c r="N455">
        <f t="shared" si="42"/>
        <v>4949</v>
      </c>
      <c r="O455" t="str">
        <f t="shared" si="43"/>
        <v>Medium</v>
      </c>
      <c r="P455" s="4">
        <f t="shared" si="44"/>
        <v>1.8185492018589614E-2</v>
      </c>
      <c r="Q455" t="str">
        <f t="shared" si="45"/>
        <v>Small</v>
      </c>
      <c r="R455" s="19">
        <f t="shared" si="46"/>
        <v>1</v>
      </c>
      <c r="S455" t="str">
        <f t="shared" si="47"/>
        <v>2</v>
      </c>
    </row>
    <row r="456" spans="1:19" x14ac:dyDescent="0.25">
      <c r="A456" t="s">
        <v>475</v>
      </c>
      <c r="B456" t="s">
        <v>11</v>
      </c>
      <c r="C456" t="s">
        <v>12</v>
      </c>
      <c r="D456">
        <v>0</v>
      </c>
      <c r="E456" t="s">
        <v>13</v>
      </c>
      <c r="F456" t="s">
        <v>17</v>
      </c>
      <c r="G456" s="3">
        <v>7085</v>
      </c>
      <c r="H456" s="3">
        <v>0</v>
      </c>
      <c r="I456" s="3">
        <v>84</v>
      </c>
      <c r="J456">
        <v>360</v>
      </c>
      <c r="K456">
        <v>1</v>
      </c>
      <c r="L456" t="s">
        <v>27</v>
      </c>
      <c r="M456" t="s">
        <v>15</v>
      </c>
      <c r="N456">
        <f t="shared" si="42"/>
        <v>7085</v>
      </c>
      <c r="O456" t="str">
        <f t="shared" si="43"/>
        <v>Medium</v>
      </c>
      <c r="P456" s="4">
        <f t="shared" si="44"/>
        <v>1.1856033874382499E-2</v>
      </c>
      <c r="Q456" t="str">
        <f t="shared" si="45"/>
        <v>Small</v>
      </c>
      <c r="R456" s="19">
        <f t="shared" si="46"/>
        <v>1</v>
      </c>
      <c r="S456" t="str">
        <f t="shared" si="47"/>
        <v>3</v>
      </c>
    </row>
    <row r="457" spans="1:19" x14ac:dyDescent="0.25">
      <c r="A457" t="s">
        <v>476</v>
      </c>
      <c r="B457" t="s">
        <v>11</v>
      </c>
      <c r="C457" t="s">
        <v>17</v>
      </c>
      <c r="D457">
        <v>2</v>
      </c>
      <c r="E457" t="s">
        <v>13</v>
      </c>
      <c r="F457" t="s">
        <v>12</v>
      </c>
      <c r="G457" s="3">
        <v>3859</v>
      </c>
      <c r="H457" s="3">
        <v>0</v>
      </c>
      <c r="I457" s="3">
        <v>96</v>
      </c>
      <c r="J457">
        <v>360</v>
      </c>
      <c r="K457">
        <v>1</v>
      </c>
      <c r="L457" t="s">
        <v>27</v>
      </c>
      <c r="M457" t="s">
        <v>15</v>
      </c>
      <c r="N457">
        <f t="shared" si="42"/>
        <v>3859</v>
      </c>
      <c r="O457" t="str">
        <f t="shared" si="43"/>
        <v>Low</v>
      </c>
      <c r="P457" s="4">
        <f t="shared" si="44"/>
        <v>2.4876911116869654E-2</v>
      </c>
      <c r="Q457" t="str">
        <f t="shared" si="45"/>
        <v>Small</v>
      </c>
      <c r="R457" s="19">
        <f t="shared" si="46"/>
        <v>1</v>
      </c>
      <c r="S457" t="str">
        <f t="shared" si="47"/>
        <v>3</v>
      </c>
    </row>
    <row r="458" spans="1:19" x14ac:dyDescent="0.25">
      <c r="A458" t="s">
        <v>477</v>
      </c>
      <c r="B458" t="s">
        <v>11</v>
      </c>
      <c r="C458" t="s">
        <v>17</v>
      </c>
      <c r="D458">
        <v>0</v>
      </c>
      <c r="E458" t="s">
        <v>13</v>
      </c>
      <c r="F458" t="s">
        <v>12</v>
      </c>
      <c r="G458" s="3">
        <v>4301</v>
      </c>
      <c r="H458" s="3">
        <v>0</v>
      </c>
      <c r="I458" s="3">
        <v>118</v>
      </c>
      <c r="J458">
        <v>360</v>
      </c>
      <c r="K458">
        <v>1</v>
      </c>
      <c r="L458" t="s">
        <v>14</v>
      </c>
      <c r="M458" t="s">
        <v>15</v>
      </c>
      <c r="N458">
        <f t="shared" si="42"/>
        <v>4301</v>
      </c>
      <c r="O458" t="str">
        <f t="shared" si="43"/>
        <v>Medium</v>
      </c>
      <c r="P458" s="4">
        <f t="shared" si="44"/>
        <v>2.7435480120902116E-2</v>
      </c>
      <c r="Q458" t="str">
        <f t="shared" si="45"/>
        <v>Medium</v>
      </c>
      <c r="R458" s="19">
        <f t="shared" si="46"/>
        <v>1</v>
      </c>
      <c r="S458" t="str">
        <f t="shared" si="47"/>
        <v>1</v>
      </c>
    </row>
    <row r="459" spans="1:19" x14ac:dyDescent="0.25">
      <c r="A459" t="s">
        <v>478</v>
      </c>
      <c r="B459" t="s">
        <v>11</v>
      </c>
      <c r="C459" t="s">
        <v>17</v>
      </c>
      <c r="D459">
        <v>0</v>
      </c>
      <c r="E459" t="s">
        <v>13</v>
      </c>
      <c r="F459" t="s">
        <v>12</v>
      </c>
      <c r="G459" s="3">
        <v>3708</v>
      </c>
      <c r="H459" s="3">
        <v>2569</v>
      </c>
      <c r="I459" s="3">
        <v>173</v>
      </c>
      <c r="J459">
        <v>360</v>
      </c>
      <c r="K459">
        <v>1</v>
      </c>
      <c r="L459" t="s">
        <v>14</v>
      </c>
      <c r="M459" t="s">
        <v>19</v>
      </c>
      <c r="N459">
        <f t="shared" si="42"/>
        <v>6277</v>
      </c>
      <c r="O459" t="str">
        <f t="shared" si="43"/>
        <v>Medium</v>
      </c>
      <c r="P459" s="4">
        <f t="shared" si="44"/>
        <v>2.7560936753226063E-2</v>
      </c>
      <c r="Q459" t="str">
        <f t="shared" si="45"/>
        <v>Medium</v>
      </c>
      <c r="R459" s="19">
        <f t="shared" si="46"/>
        <v>0</v>
      </c>
      <c r="S459" t="str">
        <f t="shared" si="47"/>
        <v>1</v>
      </c>
    </row>
    <row r="460" spans="1:19" x14ac:dyDescent="0.25">
      <c r="A460" t="s">
        <v>479</v>
      </c>
      <c r="B460" t="s">
        <v>11</v>
      </c>
      <c r="C460" t="s">
        <v>12</v>
      </c>
      <c r="D460">
        <v>2</v>
      </c>
      <c r="E460" t="s">
        <v>13</v>
      </c>
      <c r="F460" t="s">
        <v>12</v>
      </c>
      <c r="G460" s="3">
        <v>4354</v>
      </c>
      <c r="H460" s="3">
        <v>0</v>
      </c>
      <c r="I460" s="3">
        <v>136</v>
      </c>
      <c r="J460">
        <v>360</v>
      </c>
      <c r="K460">
        <v>1</v>
      </c>
      <c r="L460" t="s">
        <v>18</v>
      </c>
      <c r="M460" t="s">
        <v>15</v>
      </c>
      <c r="N460">
        <f t="shared" si="42"/>
        <v>4354</v>
      </c>
      <c r="O460" t="str">
        <f t="shared" si="43"/>
        <v>Medium</v>
      </c>
      <c r="P460" s="4">
        <f t="shared" si="44"/>
        <v>3.123564538355535E-2</v>
      </c>
      <c r="Q460" t="str">
        <f t="shared" si="45"/>
        <v>Medium</v>
      </c>
      <c r="R460" s="19">
        <f t="shared" si="46"/>
        <v>1</v>
      </c>
      <c r="S460" t="str">
        <f t="shared" si="47"/>
        <v>2</v>
      </c>
    </row>
    <row r="461" spans="1:19" x14ac:dyDescent="0.25">
      <c r="A461" t="s">
        <v>480</v>
      </c>
      <c r="B461" t="s">
        <v>11</v>
      </c>
      <c r="C461" t="s">
        <v>17</v>
      </c>
      <c r="D461">
        <v>0</v>
      </c>
      <c r="E461" t="s">
        <v>13</v>
      </c>
      <c r="F461" t="s">
        <v>12</v>
      </c>
      <c r="G461" s="3">
        <v>8334</v>
      </c>
      <c r="H461" s="3">
        <v>0</v>
      </c>
      <c r="I461" s="3">
        <v>160</v>
      </c>
      <c r="J461">
        <v>360</v>
      </c>
      <c r="K461">
        <v>1</v>
      </c>
      <c r="L461" t="s">
        <v>27</v>
      </c>
      <c r="M461" t="s">
        <v>19</v>
      </c>
      <c r="N461">
        <f t="shared" si="42"/>
        <v>8334</v>
      </c>
      <c r="O461" t="str">
        <f t="shared" si="43"/>
        <v>High</v>
      </c>
      <c r="P461" s="4">
        <f t="shared" si="44"/>
        <v>1.9198464122870171E-2</v>
      </c>
      <c r="Q461" t="str">
        <f t="shared" si="45"/>
        <v>Medium</v>
      </c>
      <c r="R461" s="19">
        <f t="shared" si="46"/>
        <v>0</v>
      </c>
      <c r="S461" t="str">
        <f t="shared" si="47"/>
        <v>3</v>
      </c>
    </row>
    <row r="462" spans="1:19" x14ac:dyDescent="0.25">
      <c r="A462" t="s">
        <v>481</v>
      </c>
      <c r="B462" t="s">
        <v>38</v>
      </c>
      <c r="C462" t="s">
        <v>17</v>
      </c>
      <c r="D462">
        <v>0</v>
      </c>
      <c r="E462" t="s">
        <v>13</v>
      </c>
      <c r="F462" t="s">
        <v>17</v>
      </c>
      <c r="G462" s="3">
        <v>2083</v>
      </c>
      <c r="H462" s="3">
        <v>4083</v>
      </c>
      <c r="I462" s="3">
        <v>160</v>
      </c>
      <c r="J462">
        <v>360</v>
      </c>
      <c r="K462">
        <v>1</v>
      </c>
      <c r="L462" t="s">
        <v>27</v>
      </c>
      <c r="M462" t="s">
        <v>15</v>
      </c>
      <c r="N462">
        <f t="shared" si="42"/>
        <v>6166</v>
      </c>
      <c r="O462" t="str">
        <f t="shared" si="43"/>
        <v>Medium</v>
      </c>
      <c r="P462" s="4">
        <f t="shared" si="44"/>
        <v>2.5948751216347713E-2</v>
      </c>
      <c r="Q462" t="str">
        <f t="shared" si="45"/>
        <v>Medium</v>
      </c>
      <c r="R462" s="19">
        <f t="shared" si="46"/>
        <v>1</v>
      </c>
      <c r="S462" t="str">
        <f t="shared" si="47"/>
        <v>3</v>
      </c>
    </row>
    <row r="463" spans="1:19" x14ac:dyDescent="0.25">
      <c r="A463" t="s">
        <v>482</v>
      </c>
      <c r="B463" t="s">
        <v>11</v>
      </c>
      <c r="C463" t="s">
        <v>17</v>
      </c>
      <c r="D463">
        <v>3</v>
      </c>
      <c r="E463" t="s">
        <v>13</v>
      </c>
      <c r="F463" t="s">
        <v>12</v>
      </c>
      <c r="G463" s="3">
        <v>7740</v>
      </c>
      <c r="H463" s="3">
        <v>0</v>
      </c>
      <c r="I463" s="3">
        <v>128</v>
      </c>
      <c r="J463">
        <v>180</v>
      </c>
      <c r="K463">
        <v>1</v>
      </c>
      <c r="L463" t="s">
        <v>14</v>
      </c>
      <c r="M463" t="s">
        <v>15</v>
      </c>
      <c r="N463">
        <f t="shared" si="42"/>
        <v>7740</v>
      </c>
      <c r="O463" t="str">
        <f t="shared" si="43"/>
        <v>Medium</v>
      </c>
      <c r="P463" s="4">
        <f t="shared" si="44"/>
        <v>1.6537467700258397E-2</v>
      </c>
      <c r="Q463" t="str">
        <f t="shared" si="45"/>
        <v>Medium</v>
      </c>
      <c r="R463" s="19">
        <f t="shared" si="46"/>
        <v>1</v>
      </c>
      <c r="S463" t="str">
        <f t="shared" si="47"/>
        <v>1</v>
      </c>
    </row>
    <row r="464" spans="1:19" x14ac:dyDescent="0.25">
      <c r="A464" t="s">
        <v>483</v>
      </c>
      <c r="B464" t="s">
        <v>11</v>
      </c>
      <c r="C464" t="s">
        <v>17</v>
      </c>
      <c r="D464">
        <v>0</v>
      </c>
      <c r="E464" t="s">
        <v>13</v>
      </c>
      <c r="F464" t="s">
        <v>12</v>
      </c>
      <c r="G464" s="3">
        <v>3015</v>
      </c>
      <c r="H464" s="3">
        <v>2188</v>
      </c>
      <c r="I464" s="3">
        <v>153</v>
      </c>
      <c r="J464">
        <v>360</v>
      </c>
      <c r="K464">
        <v>1</v>
      </c>
      <c r="L464" t="s">
        <v>18</v>
      </c>
      <c r="M464" t="s">
        <v>15</v>
      </c>
      <c r="N464">
        <f t="shared" si="42"/>
        <v>5203</v>
      </c>
      <c r="O464" t="str">
        <f t="shared" si="43"/>
        <v>Medium</v>
      </c>
      <c r="P464" s="4">
        <f t="shared" si="44"/>
        <v>2.9406111858543148E-2</v>
      </c>
      <c r="Q464" t="str">
        <f t="shared" si="45"/>
        <v>Medium</v>
      </c>
      <c r="R464" s="19">
        <f t="shared" si="46"/>
        <v>1</v>
      </c>
      <c r="S464" t="str">
        <f t="shared" si="47"/>
        <v>2</v>
      </c>
    </row>
    <row r="465" spans="1:19" x14ac:dyDescent="0.25">
      <c r="A465" t="s">
        <v>484</v>
      </c>
      <c r="B465" t="s">
        <v>38</v>
      </c>
      <c r="C465" t="s">
        <v>12</v>
      </c>
      <c r="D465">
        <v>1</v>
      </c>
      <c r="E465" t="s">
        <v>22</v>
      </c>
      <c r="F465" t="s">
        <v>12</v>
      </c>
      <c r="G465" s="3">
        <v>5191</v>
      </c>
      <c r="H465" s="3">
        <v>0</v>
      </c>
      <c r="I465" s="3">
        <v>132</v>
      </c>
      <c r="J465">
        <v>360</v>
      </c>
      <c r="K465">
        <v>1</v>
      </c>
      <c r="L465" t="s">
        <v>27</v>
      </c>
      <c r="M465" t="s">
        <v>15</v>
      </c>
      <c r="N465">
        <f t="shared" si="42"/>
        <v>5191</v>
      </c>
      <c r="O465" t="str">
        <f t="shared" si="43"/>
        <v>Medium</v>
      </c>
      <c r="P465" s="4">
        <f t="shared" si="44"/>
        <v>2.5428626468888462E-2</v>
      </c>
      <c r="Q465" t="str">
        <f t="shared" si="45"/>
        <v>Medium</v>
      </c>
      <c r="R465" s="19">
        <f t="shared" si="46"/>
        <v>1</v>
      </c>
      <c r="S465" t="str">
        <f t="shared" si="47"/>
        <v>3</v>
      </c>
    </row>
    <row r="466" spans="1:19" x14ac:dyDescent="0.25">
      <c r="A466" t="s">
        <v>485</v>
      </c>
      <c r="B466" t="s">
        <v>11</v>
      </c>
      <c r="C466" t="s">
        <v>12</v>
      </c>
      <c r="D466">
        <v>0</v>
      </c>
      <c r="E466" t="s">
        <v>13</v>
      </c>
      <c r="F466" t="s">
        <v>12</v>
      </c>
      <c r="G466" s="3">
        <v>4166</v>
      </c>
      <c r="H466" s="3">
        <v>0</v>
      </c>
      <c r="I466" s="3">
        <v>98</v>
      </c>
      <c r="J466">
        <v>360</v>
      </c>
      <c r="K466">
        <v>0</v>
      </c>
      <c r="L466" t="s">
        <v>27</v>
      </c>
      <c r="M466" t="s">
        <v>19</v>
      </c>
      <c r="N466">
        <f t="shared" si="42"/>
        <v>4166</v>
      </c>
      <c r="O466" t="str">
        <f t="shared" si="43"/>
        <v>Medium</v>
      </c>
      <c r="P466" s="4">
        <f t="shared" si="44"/>
        <v>2.3523763802208355E-2</v>
      </c>
      <c r="Q466" t="str">
        <f t="shared" si="45"/>
        <v>Small</v>
      </c>
      <c r="R466" s="19">
        <f t="shared" si="46"/>
        <v>0</v>
      </c>
      <c r="S466" t="str">
        <f t="shared" si="47"/>
        <v>3</v>
      </c>
    </row>
    <row r="467" spans="1:19" x14ac:dyDescent="0.25">
      <c r="A467" t="s">
        <v>486</v>
      </c>
      <c r="B467" t="s">
        <v>11</v>
      </c>
      <c r="C467" t="s">
        <v>12</v>
      </c>
      <c r="D467">
        <v>0</v>
      </c>
      <c r="E467" t="s">
        <v>13</v>
      </c>
      <c r="F467" t="s">
        <v>12</v>
      </c>
      <c r="G467" s="3">
        <v>6000</v>
      </c>
      <c r="H467" s="3">
        <v>0</v>
      </c>
      <c r="I467" s="3">
        <v>140</v>
      </c>
      <c r="J467">
        <v>360</v>
      </c>
      <c r="K467">
        <v>1</v>
      </c>
      <c r="L467" t="s">
        <v>18</v>
      </c>
      <c r="M467" t="s">
        <v>15</v>
      </c>
      <c r="N467">
        <f t="shared" si="42"/>
        <v>6000</v>
      </c>
      <c r="O467" t="str">
        <f t="shared" si="43"/>
        <v>Medium</v>
      </c>
      <c r="P467" s="4">
        <f t="shared" si="44"/>
        <v>2.3333333333333334E-2</v>
      </c>
      <c r="Q467" t="str">
        <f t="shared" si="45"/>
        <v>Medium</v>
      </c>
      <c r="R467" s="19">
        <f t="shared" si="46"/>
        <v>1</v>
      </c>
      <c r="S467" t="str">
        <f t="shared" si="47"/>
        <v>2</v>
      </c>
    </row>
    <row r="468" spans="1:19" x14ac:dyDescent="0.25">
      <c r="A468" t="s">
        <v>487</v>
      </c>
      <c r="B468" t="s">
        <v>11</v>
      </c>
      <c r="C468" t="s">
        <v>17</v>
      </c>
      <c r="D468">
        <v>3</v>
      </c>
      <c r="E468" t="s">
        <v>22</v>
      </c>
      <c r="F468" t="s">
        <v>12</v>
      </c>
      <c r="G468" s="3">
        <v>2947</v>
      </c>
      <c r="H468" s="3">
        <v>1664</v>
      </c>
      <c r="I468" s="3">
        <v>70</v>
      </c>
      <c r="J468">
        <v>180</v>
      </c>
      <c r="K468">
        <v>0</v>
      </c>
      <c r="L468" t="s">
        <v>14</v>
      </c>
      <c r="M468" t="s">
        <v>19</v>
      </c>
      <c r="N468">
        <f t="shared" si="42"/>
        <v>4611</v>
      </c>
      <c r="O468" t="str">
        <f t="shared" si="43"/>
        <v>Medium</v>
      </c>
      <c r="P468" s="4">
        <f t="shared" si="44"/>
        <v>1.5181088700932552E-2</v>
      </c>
      <c r="Q468" t="str">
        <f t="shared" si="45"/>
        <v>Small</v>
      </c>
      <c r="R468" s="19">
        <f t="shared" si="46"/>
        <v>0</v>
      </c>
      <c r="S468" t="str">
        <f t="shared" si="47"/>
        <v>1</v>
      </c>
    </row>
    <row r="469" spans="1:19" x14ac:dyDescent="0.25">
      <c r="A469" t="s">
        <v>488</v>
      </c>
      <c r="B469" t="s">
        <v>38</v>
      </c>
      <c r="C469" t="s">
        <v>17</v>
      </c>
      <c r="D469">
        <v>0</v>
      </c>
      <c r="E469" t="s">
        <v>13</v>
      </c>
      <c r="F469" t="s">
        <v>12</v>
      </c>
      <c r="G469" s="3">
        <v>16692</v>
      </c>
      <c r="H469" s="3">
        <v>0</v>
      </c>
      <c r="I469" s="3">
        <v>110</v>
      </c>
      <c r="J469">
        <v>360</v>
      </c>
      <c r="K469">
        <v>1</v>
      </c>
      <c r="L469" t="s">
        <v>27</v>
      </c>
      <c r="M469" t="s">
        <v>15</v>
      </c>
      <c r="N469">
        <f t="shared" si="42"/>
        <v>16692</v>
      </c>
      <c r="O469" t="str">
        <f t="shared" si="43"/>
        <v>High</v>
      </c>
      <c r="P469" s="4">
        <f t="shared" si="44"/>
        <v>6.5899832254972439E-3</v>
      </c>
      <c r="Q469" t="str">
        <f t="shared" si="45"/>
        <v>Medium</v>
      </c>
      <c r="R469" s="19">
        <f t="shared" si="46"/>
        <v>1</v>
      </c>
      <c r="S469" t="str">
        <f t="shared" si="47"/>
        <v>3</v>
      </c>
    </row>
    <row r="470" spans="1:19" x14ac:dyDescent="0.25">
      <c r="A470" t="s">
        <v>489</v>
      </c>
      <c r="B470" t="s">
        <v>38</v>
      </c>
      <c r="C470" t="s">
        <v>17</v>
      </c>
      <c r="D470">
        <v>2</v>
      </c>
      <c r="E470" t="s">
        <v>22</v>
      </c>
      <c r="F470" t="s">
        <v>12</v>
      </c>
      <c r="G470" s="3">
        <v>210</v>
      </c>
      <c r="H470" s="3">
        <v>2917</v>
      </c>
      <c r="I470" s="3">
        <v>98</v>
      </c>
      <c r="J470">
        <v>360</v>
      </c>
      <c r="K470">
        <v>1</v>
      </c>
      <c r="L470" t="s">
        <v>27</v>
      </c>
      <c r="M470" t="s">
        <v>15</v>
      </c>
      <c r="N470">
        <f t="shared" si="42"/>
        <v>3127</v>
      </c>
      <c r="O470" t="str">
        <f t="shared" si="43"/>
        <v>Low</v>
      </c>
      <c r="P470" s="4">
        <f t="shared" si="44"/>
        <v>3.1339942436840421E-2</v>
      </c>
      <c r="Q470" t="str">
        <f t="shared" si="45"/>
        <v>Small</v>
      </c>
      <c r="R470" s="19">
        <f t="shared" si="46"/>
        <v>1</v>
      </c>
      <c r="S470" t="str">
        <f t="shared" si="47"/>
        <v>3</v>
      </c>
    </row>
    <row r="471" spans="1:19" x14ac:dyDescent="0.25">
      <c r="A471" t="s">
        <v>490</v>
      </c>
      <c r="B471" t="s">
        <v>11</v>
      </c>
      <c r="C471" t="s">
        <v>17</v>
      </c>
      <c r="D471">
        <v>0</v>
      </c>
      <c r="E471" t="s">
        <v>13</v>
      </c>
      <c r="F471" t="s">
        <v>12</v>
      </c>
      <c r="G471" s="3">
        <v>4333</v>
      </c>
      <c r="H471" s="3">
        <v>2451</v>
      </c>
      <c r="I471" s="3">
        <v>110</v>
      </c>
      <c r="J471">
        <v>360</v>
      </c>
      <c r="K471">
        <v>1</v>
      </c>
      <c r="L471" t="s">
        <v>14</v>
      </c>
      <c r="M471" t="s">
        <v>19</v>
      </c>
      <c r="N471">
        <f t="shared" si="42"/>
        <v>6784</v>
      </c>
      <c r="O471" t="str">
        <f t="shared" si="43"/>
        <v>Medium</v>
      </c>
      <c r="P471" s="4">
        <f t="shared" si="44"/>
        <v>1.6214622641509434E-2</v>
      </c>
      <c r="Q471" t="str">
        <f t="shared" si="45"/>
        <v>Medium</v>
      </c>
      <c r="R471" s="19">
        <f t="shared" si="46"/>
        <v>0</v>
      </c>
      <c r="S471" t="str">
        <f t="shared" si="47"/>
        <v>1</v>
      </c>
    </row>
    <row r="472" spans="1:19" x14ac:dyDescent="0.25">
      <c r="A472" t="s">
        <v>491</v>
      </c>
      <c r="B472" t="s">
        <v>11</v>
      </c>
      <c r="C472" t="s">
        <v>17</v>
      </c>
      <c r="D472">
        <v>1</v>
      </c>
      <c r="E472" t="s">
        <v>13</v>
      </c>
      <c r="F472" t="s">
        <v>17</v>
      </c>
      <c r="G472" s="3">
        <v>3450</v>
      </c>
      <c r="H472" s="3">
        <v>2079</v>
      </c>
      <c r="I472" s="3">
        <v>162</v>
      </c>
      <c r="J472">
        <v>360</v>
      </c>
      <c r="K472">
        <v>1</v>
      </c>
      <c r="L472" t="s">
        <v>27</v>
      </c>
      <c r="M472" t="s">
        <v>15</v>
      </c>
      <c r="N472">
        <f t="shared" si="42"/>
        <v>5529</v>
      </c>
      <c r="O472" t="str">
        <f t="shared" si="43"/>
        <v>Medium</v>
      </c>
      <c r="P472" s="4">
        <f t="shared" si="44"/>
        <v>2.9300054259359741E-2</v>
      </c>
      <c r="Q472" t="str">
        <f t="shared" si="45"/>
        <v>Medium</v>
      </c>
      <c r="R472" s="19">
        <f t="shared" si="46"/>
        <v>1</v>
      </c>
      <c r="S472" t="str">
        <f t="shared" si="47"/>
        <v>3</v>
      </c>
    </row>
    <row r="473" spans="1:19" x14ac:dyDescent="0.25">
      <c r="A473" t="s">
        <v>492</v>
      </c>
      <c r="B473" t="s">
        <v>11</v>
      </c>
      <c r="C473" t="s">
        <v>17</v>
      </c>
      <c r="D473">
        <v>1</v>
      </c>
      <c r="E473" t="s">
        <v>22</v>
      </c>
      <c r="F473" t="s">
        <v>12</v>
      </c>
      <c r="G473" s="3">
        <v>2653</v>
      </c>
      <c r="H473" s="3">
        <v>1500</v>
      </c>
      <c r="I473" s="3">
        <v>113</v>
      </c>
      <c r="J473">
        <v>180</v>
      </c>
      <c r="K473">
        <v>0</v>
      </c>
      <c r="L473" t="s">
        <v>18</v>
      </c>
      <c r="M473" t="s">
        <v>19</v>
      </c>
      <c r="N473">
        <f t="shared" si="42"/>
        <v>4153</v>
      </c>
      <c r="O473" t="str">
        <f t="shared" si="43"/>
        <v>Medium</v>
      </c>
      <c r="P473" s="4">
        <f t="shared" si="44"/>
        <v>2.7209246327955693E-2</v>
      </c>
      <c r="Q473" t="str">
        <f t="shared" si="45"/>
        <v>Medium</v>
      </c>
      <c r="R473" s="19">
        <f t="shared" si="46"/>
        <v>0</v>
      </c>
      <c r="S473" t="str">
        <f t="shared" si="47"/>
        <v>2</v>
      </c>
    </row>
    <row r="474" spans="1:19" x14ac:dyDescent="0.25">
      <c r="A474" t="s">
        <v>493</v>
      </c>
      <c r="B474" t="s">
        <v>11</v>
      </c>
      <c r="C474" t="s">
        <v>17</v>
      </c>
      <c r="D474">
        <v>3</v>
      </c>
      <c r="E474" t="s">
        <v>13</v>
      </c>
      <c r="F474" t="s">
        <v>12</v>
      </c>
      <c r="G474" s="3">
        <v>4691</v>
      </c>
      <c r="H474" s="3">
        <v>0</v>
      </c>
      <c r="I474" s="3">
        <v>100</v>
      </c>
      <c r="J474">
        <v>360</v>
      </c>
      <c r="K474">
        <v>1</v>
      </c>
      <c r="L474" t="s">
        <v>27</v>
      </c>
      <c r="M474" t="s">
        <v>15</v>
      </c>
      <c r="N474">
        <f t="shared" si="42"/>
        <v>4691</v>
      </c>
      <c r="O474" t="str">
        <f t="shared" si="43"/>
        <v>Medium</v>
      </c>
      <c r="P474" s="4">
        <f t="shared" si="44"/>
        <v>2.1317416329140908E-2</v>
      </c>
      <c r="Q474" t="str">
        <f t="shared" si="45"/>
        <v>Medium</v>
      </c>
      <c r="R474" s="19">
        <f t="shared" si="46"/>
        <v>1</v>
      </c>
      <c r="S474" t="str">
        <f t="shared" si="47"/>
        <v>3</v>
      </c>
    </row>
    <row r="475" spans="1:19" x14ac:dyDescent="0.25">
      <c r="A475" t="s">
        <v>494</v>
      </c>
      <c r="B475" t="s">
        <v>38</v>
      </c>
      <c r="C475" t="s">
        <v>12</v>
      </c>
      <c r="D475">
        <v>0</v>
      </c>
      <c r="E475" t="s">
        <v>13</v>
      </c>
      <c r="F475" t="s">
        <v>17</v>
      </c>
      <c r="G475" s="3">
        <v>2500</v>
      </c>
      <c r="H475" s="3">
        <v>0</v>
      </c>
      <c r="I475" s="3">
        <v>93</v>
      </c>
      <c r="J475">
        <v>360</v>
      </c>
      <c r="K475">
        <v>0</v>
      </c>
      <c r="L475" t="s">
        <v>14</v>
      </c>
      <c r="M475" t="s">
        <v>15</v>
      </c>
      <c r="N475">
        <f t="shared" si="42"/>
        <v>2500</v>
      </c>
      <c r="O475" t="str">
        <f t="shared" si="43"/>
        <v>Low</v>
      </c>
      <c r="P475" s="4">
        <f t="shared" si="44"/>
        <v>3.7199999999999997E-2</v>
      </c>
      <c r="Q475" t="str">
        <f t="shared" si="45"/>
        <v>Small</v>
      </c>
      <c r="R475" s="19">
        <f t="shared" si="46"/>
        <v>1</v>
      </c>
      <c r="S475" t="str">
        <f t="shared" si="47"/>
        <v>1</v>
      </c>
    </row>
    <row r="476" spans="1:19" x14ac:dyDescent="0.25">
      <c r="A476" t="s">
        <v>495</v>
      </c>
      <c r="B476" t="s">
        <v>11</v>
      </c>
      <c r="C476" t="s">
        <v>12</v>
      </c>
      <c r="D476">
        <v>2</v>
      </c>
      <c r="E476" t="s">
        <v>13</v>
      </c>
      <c r="F476" t="s">
        <v>12</v>
      </c>
      <c r="G476" s="3">
        <v>5532</v>
      </c>
      <c r="H476" s="3">
        <v>4648</v>
      </c>
      <c r="I476" s="3">
        <v>162</v>
      </c>
      <c r="J476">
        <v>360</v>
      </c>
      <c r="K476">
        <v>1</v>
      </c>
      <c r="L476" t="s">
        <v>18</v>
      </c>
      <c r="M476" t="s">
        <v>15</v>
      </c>
      <c r="N476">
        <f t="shared" si="42"/>
        <v>10180</v>
      </c>
      <c r="O476" t="str">
        <f t="shared" si="43"/>
        <v>High</v>
      </c>
      <c r="P476" s="4">
        <f t="shared" si="44"/>
        <v>1.5913555992141455E-2</v>
      </c>
      <c r="Q476" t="str">
        <f t="shared" si="45"/>
        <v>Medium</v>
      </c>
      <c r="R476" s="19">
        <f t="shared" si="46"/>
        <v>1</v>
      </c>
      <c r="S476" t="str">
        <f t="shared" si="47"/>
        <v>2</v>
      </c>
    </row>
    <row r="477" spans="1:19" x14ac:dyDescent="0.25">
      <c r="A477" t="s">
        <v>496</v>
      </c>
      <c r="B477" t="s">
        <v>11</v>
      </c>
      <c r="C477" t="s">
        <v>17</v>
      </c>
      <c r="D477">
        <v>2</v>
      </c>
      <c r="E477" t="s">
        <v>13</v>
      </c>
      <c r="F477" t="s">
        <v>17</v>
      </c>
      <c r="G477" s="3">
        <v>16525</v>
      </c>
      <c r="H477" s="3">
        <v>1014</v>
      </c>
      <c r="I477" s="3">
        <v>150</v>
      </c>
      <c r="J477">
        <v>360</v>
      </c>
      <c r="K477">
        <v>1</v>
      </c>
      <c r="L477" t="s">
        <v>18</v>
      </c>
      <c r="M477" t="s">
        <v>15</v>
      </c>
      <c r="N477">
        <f t="shared" si="42"/>
        <v>17539</v>
      </c>
      <c r="O477" t="str">
        <f t="shared" si="43"/>
        <v>High</v>
      </c>
      <c r="P477" s="4">
        <f t="shared" si="44"/>
        <v>8.5523690062147221E-3</v>
      </c>
      <c r="Q477" t="str">
        <f t="shared" si="45"/>
        <v>Medium</v>
      </c>
      <c r="R477" s="19">
        <f t="shared" si="46"/>
        <v>1</v>
      </c>
      <c r="S477" t="str">
        <f t="shared" si="47"/>
        <v>2</v>
      </c>
    </row>
    <row r="478" spans="1:19" x14ac:dyDescent="0.25">
      <c r="A478" t="s">
        <v>497</v>
      </c>
      <c r="B478" t="s">
        <v>11</v>
      </c>
      <c r="C478" t="s">
        <v>17</v>
      </c>
      <c r="D478">
        <v>2</v>
      </c>
      <c r="E478" t="s">
        <v>13</v>
      </c>
      <c r="F478" t="s">
        <v>12</v>
      </c>
      <c r="G478" s="3">
        <v>6700</v>
      </c>
      <c r="H478" s="3">
        <v>1750</v>
      </c>
      <c r="I478" s="3">
        <v>230</v>
      </c>
      <c r="J478">
        <v>300</v>
      </c>
      <c r="K478">
        <v>1</v>
      </c>
      <c r="L478" t="s">
        <v>27</v>
      </c>
      <c r="M478" t="s">
        <v>15</v>
      </c>
      <c r="N478">
        <f t="shared" si="42"/>
        <v>8450</v>
      </c>
      <c r="O478" t="str">
        <f t="shared" si="43"/>
        <v>High</v>
      </c>
      <c r="P478" s="4">
        <f t="shared" si="44"/>
        <v>2.7218934911242602E-2</v>
      </c>
      <c r="Q478" t="str">
        <f t="shared" si="45"/>
        <v>Large</v>
      </c>
      <c r="R478" s="19">
        <f t="shared" si="46"/>
        <v>1</v>
      </c>
      <c r="S478" t="str">
        <f t="shared" si="47"/>
        <v>3</v>
      </c>
    </row>
    <row r="479" spans="1:19" x14ac:dyDescent="0.25">
      <c r="A479" t="s">
        <v>498</v>
      </c>
      <c r="B479" t="s">
        <v>11</v>
      </c>
      <c r="C479" t="s">
        <v>17</v>
      </c>
      <c r="D479">
        <v>2</v>
      </c>
      <c r="E479" t="s">
        <v>13</v>
      </c>
      <c r="F479" t="s">
        <v>12</v>
      </c>
      <c r="G479" s="3">
        <v>2873</v>
      </c>
      <c r="H479" s="3">
        <v>1872</v>
      </c>
      <c r="I479" s="3">
        <v>132</v>
      </c>
      <c r="J479">
        <v>360</v>
      </c>
      <c r="K479">
        <v>0</v>
      </c>
      <c r="L479" t="s">
        <v>27</v>
      </c>
      <c r="M479" t="s">
        <v>19</v>
      </c>
      <c r="N479">
        <f t="shared" si="42"/>
        <v>4745</v>
      </c>
      <c r="O479" t="str">
        <f t="shared" si="43"/>
        <v>Medium</v>
      </c>
      <c r="P479" s="4">
        <f t="shared" si="44"/>
        <v>2.7818756585879872E-2</v>
      </c>
      <c r="Q479" t="str">
        <f t="shared" si="45"/>
        <v>Medium</v>
      </c>
      <c r="R479" s="19">
        <f t="shared" si="46"/>
        <v>0</v>
      </c>
      <c r="S479" t="str">
        <f t="shared" si="47"/>
        <v>3</v>
      </c>
    </row>
    <row r="480" spans="1:19" x14ac:dyDescent="0.25">
      <c r="A480" t="s">
        <v>499</v>
      </c>
      <c r="B480" t="s">
        <v>11</v>
      </c>
      <c r="C480" t="s">
        <v>17</v>
      </c>
      <c r="D480">
        <v>1</v>
      </c>
      <c r="E480" t="s">
        <v>13</v>
      </c>
      <c r="F480" t="s">
        <v>17</v>
      </c>
      <c r="G480" s="3">
        <v>16667</v>
      </c>
      <c r="H480" s="3">
        <v>2250</v>
      </c>
      <c r="I480" s="3">
        <v>86</v>
      </c>
      <c r="J480">
        <v>360</v>
      </c>
      <c r="K480">
        <v>1</v>
      </c>
      <c r="L480" t="s">
        <v>27</v>
      </c>
      <c r="M480" t="s">
        <v>15</v>
      </c>
      <c r="N480">
        <f t="shared" si="42"/>
        <v>18917</v>
      </c>
      <c r="O480" t="str">
        <f t="shared" si="43"/>
        <v>High</v>
      </c>
      <c r="P480" s="4">
        <f t="shared" si="44"/>
        <v>4.5461753977903471E-3</v>
      </c>
      <c r="Q480" t="str">
        <f t="shared" si="45"/>
        <v>Small</v>
      </c>
      <c r="R480" s="19">
        <f t="shared" si="46"/>
        <v>1</v>
      </c>
      <c r="S480" t="str">
        <f t="shared" si="47"/>
        <v>3</v>
      </c>
    </row>
    <row r="481" spans="1:19" x14ac:dyDescent="0.25">
      <c r="A481" t="s">
        <v>500</v>
      </c>
      <c r="B481" t="s">
        <v>11</v>
      </c>
      <c r="C481" t="s">
        <v>17</v>
      </c>
      <c r="D481">
        <v>2</v>
      </c>
      <c r="E481" t="s">
        <v>13</v>
      </c>
      <c r="F481" t="s">
        <v>12</v>
      </c>
      <c r="G481" s="3">
        <v>2947</v>
      </c>
      <c r="H481" s="3">
        <v>1603</v>
      </c>
      <c r="I481" s="3">
        <v>0</v>
      </c>
      <c r="J481">
        <v>360</v>
      </c>
      <c r="K481">
        <v>1</v>
      </c>
      <c r="L481" t="s">
        <v>14</v>
      </c>
      <c r="M481" t="s">
        <v>19</v>
      </c>
      <c r="N481">
        <f t="shared" si="42"/>
        <v>4550</v>
      </c>
      <c r="O481" t="str">
        <f t="shared" si="43"/>
        <v>Medium</v>
      </c>
      <c r="P481" s="4">
        <f t="shared" si="44"/>
        <v>0</v>
      </c>
      <c r="Q481" t="str">
        <f t="shared" si="45"/>
        <v>Small</v>
      </c>
      <c r="R481" s="19">
        <f t="shared" si="46"/>
        <v>0</v>
      </c>
      <c r="S481" t="str">
        <f t="shared" si="47"/>
        <v>1</v>
      </c>
    </row>
    <row r="482" spans="1:19" x14ac:dyDescent="0.25">
      <c r="A482" t="s">
        <v>501</v>
      </c>
      <c r="B482" t="s">
        <v>38</v>
      </c>
      <c r="C482" t="s">
        <v>12</v>
      </c>
      <c r="D482">
        <v>0</v>
      </c>
      <c r="E482" t="s">
        <v>22</v>
      </c>
      <c r="F482" t="s">
        <v>12</v>
      </c>
      <c r="G482" s="3">
        <v>4350</v>
      </c>
      <c r="H482" s="3">
        <v>0</v>
      </c>
      <c r="I482" s="3">
        <v>154</v>
      </c>
      <c r="J482">
        <v>360</v>
      </c>
      <c r="K482">
        <v>1</v>
      </c>
      <c r="L482" t="s">
        <v>18</v>
      </c>
      <c r="M482" t="s">
        <v>15</v>
      </c>
      <c r="N482">
        <f t="shared" si="42"/>
        <v>4350</v>
      </c>
      <c r="O482" t="str">
        <f t="shared" si="43"/>
        <v>Medium</v>
      </c>
      <c r="P482" s="4">
        <f t="shared" si="44"/>
        <v>3.5402298850574714E-2</v>
      </c>
      <c r="Q482" t="str">
        <f t="shared" si="45"/>
        <v>Medium</v>
      </c>
      <c r="R482" s="19">
        <f t="shared" si="46"/>
        <v>1</v>
      </c>
      <c r="S482" t="str">
        <f t="shared" si="47"/>
        <v>2</v>
      </c>
    </row>
    <row r="483" spans="1:19" x14ac:dyDescent="0.25">
      <c r="A483" t="s">
        <v>502</v>
      </c>
      <c r="B483" t="s">
        <v>11</v>
      </c>
      <c r="C483" t="s">
        <v>17</v>
      </c>
      <c r="D483">
        <v>3</v>
      </c>
      <c r="E483" t="s">
        <v>22</v>
      </c>
      <c r="F483" t="s">
        <v>12</v>
      </c>
      <c r="G483" s="3">
        <v>3095</v>
      </c>
      <c r="H483" s="3">
        <v>0</v>
      </c>
      <c r="I483" s="3">
        <v>113</v>
      </c>
      <c r="J483">
        <v>360</v>
      </c>
      <c r="K483">
        <v>1</v>
      </c>
      <c r="L483" t="s">
        <v>18</v>
      </c>
      <c r="M483" t="s">
        <v>15</v>
      </c>
      <c r="N483">
        <f t="shared" si="42"/>
        <v>3095</v>
      </c>
      <c r="O483" t="str">
        <f t="shared" si="43"/>
        <v>Low</v>
      </c>
      <c r="P483" s="4">
        <f t="shared" si="44"/>
        <v>3.6510500807754441E-2</v>
      </c>
      <c r="Q483" t="str">
        <f t="shared" si="45"/>
        <v>Medium</v>
      </c>
      <c r="R483" s="19">
        <f t="shared" si="46"/>
        <v>1</v>
      </c>
      <c r="S483" t="str">
        <f t="shared" si="47"/>
        <v>2</v>
      </c>
    </row>
    <row r="484" spans="1:19" x14ac:dyDescent="0.25">
      <c r="A484" t="s">
        <v>503</v>
      </c>
      <c r="B484" t="s">
        <v>11</v>
      </c>
      <c r="C484" t="s">
        <v>17</v>
      </c>
      <c r="D484">
        <v>0</v>
      </c>
      <c r="E484" t="s">
        <v>13</v>
      </c>
      <c r="F484" t="s">
        <v>12</v>
      </c>
      <c r="G484" s="3">
        <v>2083</v>
      </c>
      <c r="H484" s="3">
        <v>3150</v>
      </c>
      <c r="I484" s="3">
        <v>128</v>
      </c>
      <c r="J484">
        <v>360</v>
      </c>
      <c r="K484">
        <v>1</v>
      </c>
      <c r="L484" t="s">
        <v>27</v>
      </c>
      <c r="M484" t="s">
        <v>15</v>
      </c>
      <c r="N484">
        <f t="shared" si="42"/>
        <v>5233</v>
      </c>
      <c r="O484" t="str">
        <f t="shared" si="43"/>
        <v>Medium</v>
      </c>
      <c r="P484" s="4">
        <f t="shared" si="44"/>
        <v>2.4460156697878845E-2</v>
      </c>
      <c r="Q484" t="str">
        <f t="shared" si="45"/>
        <v>Medium</v>
      </c>
      <c r="R484" s="19">
        <f t="shared" si="46"/>
        <v>1</v>
      </c>
      <c r="S484" t="str">
        <f t="shared" si="47"/>
        <v>3</v>
      </c>
    </row>
    <row r="485" spans="1:19" x14ac:dyDescent="0.25">
      <c r="A485" t="s">
        <v>504</v>
      </c>
      <c r="B485" t="s">
        <v>11</v>
      </c>
      <c r="C485" t="s">
        <v>17</v>
      </c>
      <c r="D485">
        <v>0</v>
      </c>
      <c r="E485" t="s">
        <v>13</v>
      </c>
      <c r="F485" t="s">
        <v>12</v>
      </c>
      <c r="G485" s="3">
        <v>10833</v>
      </c>
      <c r="H485" s="3">
        <v>0</v>
      </c>
      <c r="I485" s="3">
        <v>234</v>
      </c>
      <c r="J485">
        <v>360</v>
      </c>
      <c r="K485">
        <v>1</v>
      </c>
      <c r="L485" t="s">
        <v>27</v>
      </c>
      <c r="M485" t="s">
        <v>15</v>
      </c>
      <c r="N485">
        <f t="shared" si="42"/>
        <v>10833</v>
      </c>
      <c r="O485" t="str">
        <f t="shared" si="43"/>
        <v>High</v>
      </c>
      <c r="P485" s="4">
        <f t="shared" si="44"/>
        <v>2.1600664635834949E-2</v>
      </c>
      <c r="Q485" t="str">
        <f t="shared" si="45"/>
        <v>Large</v>
      </c>
      <c r="R485" s="19">
        <f t="shared" si="46"/>
        <v>1</v>
      </c>
      <c r="S485" t="str">
        <f t="shared" si="47"/>
        <v>3</v>
      </c>
    </row>
    <row r="486" spans="1:19" x14ac:dyDescent="0.25">
      <c r="A486" t="s">
        <v>505</v>
      </c>
      <c r="B486" t="s">
        <v>11</v>
      </c>
      <c r="C486" t="s">
        <v>17</v>
      </c>
      <c r="D486">
        <v>2</v>
      </c>
      <c r="E486" t="s">
        <v>13</v>
      </c>
      <c r="F486" t="s">
        <v>12</v>
      </c>
      <c r="G486" s="3">
        <v>8333</v>
      </c>
      <c r="H486" s="3">
        <v>0</v>
      </c>
      <c r="I486" s="3">
        <v>246</v>
      </c>
      <c r="J486">
        <v>360</v>
      </c>
      <c r="K486">
        <v>1</v>
      </c>
      <c r="L486" t="s">
        <v>27</v>
      </c>
      <c r="M486" t="s">
        <v>15</v>
      </c>
      <c r="N486">
        <f t="shared" si="42"/>
        <v>8333</v>
      </c>
      <c r="O486" t="str">
        <f t="shared" si="43"/>
        <v>High</v>
      </c>
      <c r="P486" s="4">
        <f t="shared" si="44"/>
        <v>2.9521180847233888E-2</v>
      </c>
      <c r="Q486" t="str">
        <f t="shared" si="45"/>
        <v>Large</v>
      </c>
      <c r="R486" s="19">
        <f t="shared" si="46"/>
        <v>1</v>
      </c>
      <c r="S486" t="str">
        <f t="shared" si="47"/>
        <v>3</v>
      </c>
    </row>
    <row r="487" spans="1:19" x14ac:dyDescent="0.25">
      <c r="A487" t="s">
        <v>506</v>
      </c>
      <c r="B487" t="s">
        <v>11</v>
      </c>
      <c r="C487" t="s">
        <v>17</v>
      </c>
      <c r="D487">
        <v>1</v>
      </c>
      <c r="E487" t="s">
        <v>22</v>
      </c>
      <c r="F487" t="s">
        <v>12</v>
      </c>
      <c r="G487" s="3">
        <v>1958</v>
      </c>
      <c r="H487" s="3">
        <v>2436</v>
      </c>
      <c r="I487" s="3">
        <v>131</v>
      </c>
      <c r="J487">
        <v>360</v>
      </c>
      <c r="K487">
        <v>1</v>
      </c>
      <c r="L487" t="s">
        <v>18</v>
      </c>
      <c r="M487" t="s">
        <v>15</v>
      </c>
      <c r="N487">
        <f t="shared" si="42"/>
        <v>4394</v>
      </c>
      <c r="O487" t="str">
        <f t="shared" si="43"/>
        <v>Medium</v>
      </c>
      <c r="P487" s="4">
        <f t="shared" si="44"/>
        <v>2.9813381884387802E-2</v>
      </c>
      <c r="Q487" t="str">
        <f t="shared" si="45"/>
        <v>Medium</v>
      </c>
      <c r="R487" s="19">
        <f t="shared" si="46"/>
        <v>1</v>
      </c>
      <c r="S487" t="str">
        <f t="shared" si="47"/>
        <v>2</v>
      </c>
    </row>
    <row r="488" spans="1:19" x14ac:dyDescent="0.25">
      <c r="A488" t="s">
        <v>507</v>
      </c>
      <c r="B488" t="s">
        <v>11</v>
      </c>
      <c r="C488" t="s">
        <v>12</v>
      </c>
      <c r="D488">
        <v>2</v>
      </c>
      <c r="E488" t="s">
        <v>13</v>
      </c>
      <c r="F488" t="s">
        <v>12</v>
      </c>
      <c r="G488" s="3">
        <v>3547</v>
      </c>
      <c r="H488" s="3">
        <v>0</v>
      </c>
      <c r="I488" s="3">
        <v>80</v>
      </c>
      <c r="J488">
        <v>360</v>
      </c>
      <c r="K488">
        <v>0</v>
      </c>
      <c r="L488" t="s">
        <v>18</v>
      </c>
      <c r="M488" t="s">
        <v>19</v>
      </c>
      <c r="N488">
        <f t="shared" si="42"/>
        <v>3547</v>
      </c>
      <c r="O488" t="str">
        <f t="shared" si="43"/>
        <v>Low</v>
      </c>
      <c r="P488" s="4">
        <f t="shared" si="44"/>
        <v>2.255427121511136E-2</v>
      </c>
      <c r="Q488" t="str">
        <f t="shared" si="45"/>
        <v>Small</v>
      </c>
      <c r="R488" s="19">
        <f t="shared" si="46"/>
        <v>0</v>
      </c>
      <c r="S488" t="str">
        <f t="shared" si="47"/>
        <v>2</v>
      </c>
    </row>
    <row r="489" spans="1:19" x14ac:dyDescent="0.25">
      <c r="A489" t="s">
        <v>508</v>
      </c>
      <c r="B489" t="s">
        <v>11</v>
      </c>
      <c r="C489" t="s">
        <v>17</v>
      </c>
      <c r="D489">
        <v>1</v>
      </c>
      <c r="E489" t="s">
        <v>13</v>
      </c>
      <c r="F489" t="s">
        <v>12</v>
      </c>
      <c r="G489" s="3">
        <v>18333</v>
      </c>
      <c r="H489" s="3">
        <v>0</v>
      </c>
      <c r="I489" s="3">
        <v>500</v>
      </c>
      <c r="J489">
        <v>360</v>
      </c>
      <c r="K489">
        <v>1</v>
      </c>
      <c r="L489" t="s">
        <v>14</v>
      </c>
      <c r="M489" t="s">
        <v>19</v>
      </c>
      <c r="N489">
        <f t="shared" si="42"/>
        <v>18333</v>
      </c>
      <c r="O489" t="str">
        <f t="shared" si="43"/>
        <v>High</v>
      </c>
      <c r="P489" s="4">
        <f t="shared" si="44"/>
        <v>2.7273223149511808E-2</v>
      </c>
      <c r="Q489" t="str">
        <f t="shared" si="45"/>
        <v>Large</v>
      </c>
      <c r="R489" s="19">
        <f t="shared" si="46"/>
        <v>0</v>
      </c>
      <c r="S489" t="str">
        <f t="shared" si="47"/>
        <v>1</v>
      </c>
    </row>
    <row r="490" spans="1:19" x14ac:dyDescent="0.25">
      <c r="A490" t="s">
        <v>509</v>
      </c>
      <c r="B490" t="s">
        <v>11</v>
      </c>
      <c r="C490" t="s">
        <v>17</v>
      </c>
      <c r="D490">
        <v>2</v>
      </c>
      <c r="E490" t="s">
        <v>13</v>
      </c>
      <c r="F490" t="s">
        <v>17</v>
      </c>
      <c r="G490" s="3">
        <v>4583</v>
      </c>
      <c r="H490" s="3">
        <v>2083</v>
      </c>
      <c r="I490" s="3">
        <v>160</v>
      </c>
      <c r="J490">
        <v>360</v>
      </c>
      <c r="K490">
        <v>1</v>
      </c>
      <c r="L490" t="s">
        <v>27</v>
      </c>
      <c r="M490" t="s">
        <v>15</v>
      </c>
      <c r="N490">
        <f t="shared" si="42"/>
        <v>6666</v>
      </c>
      <c r="O490" t="str">
        <f t="shared" si="43"/>
        <v>Medium</v>
      </c>
      <c r="P490" s="4">
        <f t="shared" si="44"/>
        <v>2.4002400240024001E-2</v>
      </c>
      <c r="Q490" t="str">
        <f t="shared" si="45"/>
        <v>Medium</v>
      </c>
      <c r="R490" s="19">
        <f t="shared" si="46"/>
        <v>1</v>
      </c>
      <c r="S490" t="str">
        <f t="shared" si="47"/>
        <v>3</v>
      </c>
    </row>
    <row r="491" spans="1:19" x14ac:dyDescent="0.25">
      <c r="A491" t="s">
        <v>510</v>
      </c>
      <c r="B491" t="s">
        <v>11</v>
      </c>
      <c r="C491" t="s">
        <v>12</v>
      </c>
      <c r="D491">
        <v>0</v>
      </c>
      <c r="E491" t="s">
        <v>13</v>
      </c>
      <c r="F491" t="s">
        <v>12</v>
      </c>
      <c r="G491" s="3">
        <v>2435</v>
      </c>
      <c r="H491" s="3">
        <v>0</v>
      </c>
      <c r="I491" s="3">
        <v>75</v>
      </c>
      <c r="J491">
        <v>360</v>
      </c>
      <c r="K491">
        <v>1</v>
      </c>
      <c r="L491" t="s">
        <v>14</v>
      </c>
      <c r="M491" t="s">
        <v>19</v>
      </c>
      <c r="N491">
        <f t="shared" si="42"/>
        <v>2435</v>
      </c>
      <c r="O491" t="str">
        <f t="shared" si="43"/>
        <v>Low</v>
      </c>
      <c r="P491" s="4">
        <f t="shared" si="44"/>
        <v>3.0800821355236138E-2</v>
      </c>
      <c r="Q491" t="str">
        <f t="shared" si="45"/>
        <v>Small</v>
      </c>
      <c r="R491" s="19">
        <f t="shared" si="46"/>
        <v>0</v>
      </c>
      <c r="S491" t="str">
        <f t="shared" si="47"/>
        <v>1</v>
      </c>
    </row>
    <row r="492" spans="1:19" x14ac:dyDescent="0.25">
      <c r="A492" t="s">
        <v>511</v>
      </c>
      <c r="B492" t="s">
        <v>11</v>
      </c>
      <c r="C492" t="s">
        <v>12</v>
      </c>
      <c r="D492">
        <v>0</v>
      </c>
      <c r="E492" t="s">
        <v>22</v>
      </c>
      <c r="F492" t="s">
        <v>12</v>
      </c>
      <c r="G492" s="3">
        <v>2699</v>
      </c>
      <c r="H492" s="3">
        <v>2785</v>
      </c>
      <c r="I492" s="3">
        <v>96</v>
      </c>
      <c r="J492">
        <v>360</v>
      </c>
      <c r="K492">
        <v>1</v>
      </c>
      <c r="L492" t="s">
        <v>27</v>
      </c>
      <c r="M492" t="s">
        <v>15</v>
      </c>
      <c r="N492">
        <f t="shared" si="42"/>
        <v>5484</v>
      </c>
      <c r="O492" t="str">
        <f t="shared" si="43"/>
        <v>Medium</v>
      </c>
      <c r="P492" s="4">
        <f t="shared" si="44"/>
        <v>1.7505470459518599E-2</v>
      </c>
      <c r="Q492" t="str">
        <f t="shared" si="45"/>
        <v>Small</v>
      </c>
      <c r="R492" s="19">
        <f t="shared" si="46"/>
        <v>1</v>
      </c>
      <c r="S492" t="str">
        <f t="shared" si="47"/>
        <v>3</v>
      </c>
    </row>
    <row r="493" spans="1:19" x14ac:dyDescent="0.25">
      <c r="A493" t="s">
        <v>512</v>
      </c>
      <c r="B493" t="s">
        <v>11</v>
      </c>
      <c r="C493" t="s">
        <v>17</v>
      </c>
      <c r="D493">
        <v>1</v>
      </c>
      <c r="E493" t="s">
        <v>22</v>
      </c>
      <c r="F493" t="s">
        <v>12</v>
      </c>
      <c r="G493" s="3">
        <v>5333</v>
      </c>
      <c r="H493" s="3">
        <v>1131</v>
      </c>
      <c r="I493" s="3">
        <v>186</v>
      </c>
      <c r="J493">
        <v>360</v>
      </c>
      <c r="K493">
        <v>1</v>
      </c>
      <c r="L493" t="s">
        <v>14</v>
      </c>
      <c r="M493" t="s">
        <v>15</v>
      </c>
      <c r="N493">
        <f t="shared" si="42"/>
        <v>6464</v>
      </c>
      <c r="O493" t="str">
        <f t="shared" si="43"/>
        <v>Medium</v>
      </c>
      <c r="P493" s="4">
        <f t="shared" si="44"/>
        <v>2.8774752475247526E-2</v>
      </c>
      <c r="Q493" t="str">
        <f t="shared" si="45"/>
        <v>Medium</v>
      </c>
      <c r="R493" s="19">
        <f t="shared" si="46"/>
        <v>1</v>
      </c>
      <c r="S493" t="str">
        <f t="shared" si="47"/>
        <v>1</v>
      </c>
    </row>
    <row r="494" spans="1:19" x14ac:dyDescent="0.25">
      <c r="A494" t="s">
        <v>513</v>
      </c>
      <c r="B494" t="s">
        <v>11</v>
      </c>
      <c r="C494" t="s">
        <v>12</v>
      </c>
      <c r="D494">
        <v>0</v>
      </c>
      <c r="E494" t="s">
        <v>22</v>
      </c>
      <c r="F494" t="s">
        <v>12</v>
      </c>
      <c r="G494" s="3">
        <v>3691</v>
      </c>
      <c r="H494" s="3">
        <v>0</v>
      </c>
      <c r="I494" s="3">
        <v>110</v>
      </c>
      <c r="J494">
        <v>360</v>
      </c>
      <c r="K494">
        <v>1</v>
      </c>
      <c r="L494" t="s">
        <v>18</v>
      </c>
      <c r="M494" t="s">
        <v>15</v>
      </c>
      <c r="N494">
        <f t="shared" si="42"/>
        <v>3691</v>
      </c>
      <c r="O494" t="str">
        <f t="shared" si="43"/>
        <v>Low</v>
      </c>
      <c r="P494" s="4">
        <f t="shared" si="44"/>
        <v>2.9802221620157138E-2</v>
      </c>
      <c r="Q494" t="str">
        <f t="shared" si="45"/>
        <v>Medium</v>
      </c>
      <c r="R494" s="19">
        <f t="shared" si="46"/>
        <v>1</v>
      </c>
      <c r="S494" t="str">
        <f t="shared" si="47"/>
        <v>2</v>
      </c>
    </row>
    <row r="495" spans="1:19" x14ac:dyDescent="0.25">
      <c r="A495" t="s">
        <v>514</v>
      </c>
      <c r="B495" t="s">
        <v>38</v>
      </c>
      <c r="C495" t="s">
        <v>12</v>
      </c>
      <c r="D495">
        <v>0</v>
      </c>
      <c r="E495" t="s">
        <v>22</v>
      </c>
      <c r="F495" t="s">
        <v>17</v>
      </c>
      <c r="G495" s="3">
        <v>17263</v>
      </c>
      <c r="H495" s="3">
        <v>0</v>
      </c>
      <c r="I495" s="3">
        <v>225</v>
      </c>
      <c r="J495">
        <v>360</v>
      </c>
      <c r="K495">
        <v>1</v>
      </c>
      <c r="L495" t="s">
        <v>27</v>
      </c>
      <c r="M495" t="s">
        <v>15</v>
      </c>
      <c r="N495">
        <f t="shared" si="42"/>
        <v>17263</v>
      </c>
      <c r="O495" t="str">
        <f t="shared" si="43"/>
        <v>High</v>
      </c>
      <c r="P495" s="4">
        <f t="shared" si="44"/>
        <v>1.3033655795632277E-2</v>
      </c>
      <c r="Q495" t="str">
        <f t="shared" si="45"/>
        <v>Large</v>
      </c>
      <c r="R495" s="19">
        <f t="shared" si="46"/>
        <v>1</v>
      </c>
      <c r="S495" t="str">
        <f t="shared" si="47"/>
        <v>3</v>
      </c>
    </row>
    <row r="496" spans="1:19" x14ac:dyDescent="0.25">
      <c r="A496" t="s">
        <v>515</v>
      </c>
      <c r="B496" t="s">
        <v>11</v>
      </c>
      <c r="C496" t="s">
        <v>17</v>
      </c>
      <c r="D496">
        <v>0</v>
      </c>
      <c r="E496" t="s">
        <v>13</v>
      </c>
      <c r="F496" t="s">
        <v>12</v>
      </c>
      <c r="G496" s="3">
        <v>3597</v>
      </c>
      <c r="H496" s="3">
        <v>2157</v>
      </c>
      <c r="I496" s="3">
        <v>119</v>
      </c>
      <c r="J496">
        <v>360</v>
      </c>
      <c r="K496">
        <v>0</v>
      </c>
      <c r="L496" t="s">
        <v>18</v>
      </c>
      <c r="M496" t="s">
        <v>19</v>
      </c>
      <c r="N496">
        <f t="shared" si="42"/>
        <v>5754</v>
      </c>
      <c r="O496" t="str">
        <f t="shared" si="43"/>
        <v>Medium</v>
      </c>
      <c r="P496" s="4">
        <f t="shared" si="44"/>
        <v>2.0681265206812651E-2</v>
      </c>
      <c r="Q496" t="str">
        <f t="shared" si="45"/>
        <v>Medium</v>
      </c>
      <c r="R496" s="19">
        <f t="shared" si="46"/>
        <v>0</v>
      </c>
      <c r="S496" t="str">
        <f t="shared" si="47"/>
        <v>2</v>
      </c>
    </row>
    <row r="497" spans="1:19" x14ac:dyDescent="0.25">
      <c r="A497" t="s">
        <v>516</v>
      </c>
      <c r="B497" t="s">
        <v>38</v>
      </c>
      <c r="C497" t="s">
        <v>17</v>
      </c>
      <c r="D497">
        <v>1</v>
      </c>
      <c r="E497" t="s">
        <v>13</v>
      </c>
      <c r="F497" t="s">
        <v>12</v>
      </c>
      <c r="G497" s="3">
        <v>3326</v>
      </c>
      <c r="H497" s="3">
        <v>913</v>
      </c>
      <c r="I497" s="3">
        <v>105</v>
      </c>
      <c r="J497">
        <v>84</v>
      </c>
      <c r="K497">
        <v>1</v>
      </c>
      <c r="L497" t="s">
        <v>27</v>
      </c>
      <c r="M497" t="s">
        <v>15</v>
      </c>
      <c r="N497">
        <f t="shared" si="42"/>
        <v>4239</v>
      </c>
      <c r="O497" t="str">
        <f t="shared" si="43"/>
        <v>Medium</v>
      </c>
      <c r="P497" s="4">
        <f t="shared" si="44"/>
        <v>2.4769992922859165E-2</v>
      </c>
      <c r="Q497" t="str">
        <f t="shared" si="45"/>
        <v>Medium</v>
      </c>
      <c r="R497" s="19">
        <f t="shared" si="46"/>
        <v>1</v>
      </c>
      <c r="S497" t="str">
        <f t="shared" si="47"/>
        <v>3</v>
      </c>
    </row>
    <row r="498" spans="1:19" x14ac:dyDescent="0.25">
      <c r="A498" t="s">
        <v>517</v>
      </c>
      <c r="B498" t="s">
        <v>11</v>
      </c>
      <c r="C498" t="s">
        <v>17</v>
      </c>
      <c r="D498">
        <v>0</v>
      </c>
      <c r="E498" t="s">
        <v>22</v>
      </c>
      <c r="F498" t="s">
        <v>12</v>
      </c>
      <c r="G498" s="3">
        <v>2600</v>
      </c>
      <c r="H498" s="3">
        <v>1700</v>
      </c>
      <c r="I498" s="3">
        <v>107</v>
      </c>
      <c r="J498">
        <v>360</v>
      </c>
      <c r="K498">
        <v>1</v>
      </c>
      <c r="L498" t="s">
        <v>18</v>
      </c>
      <c r="M498" t="s">
        <v>15</v>
      </c>
      <c r="N498">
        <f t="shared" si="42"/>
        <v>4300</v>
      </c>
      <c r="O498" t="str">
        <f t="shared" si="43"/>
        <v>Medium</v>
      </c>
      <c r="P498" s="4">
        <f t="shared" si="44"/>
        <v>2.4883720930232559E-2</v>
      </c>
      <c r="Q498" t="str">
        <f t="shared" si="45"/>
        <v>Medium</v>
      </c>
      <c r="R498" s="19">
        <f t="shared" si="46"/>
        <v>1</v>
      </c>
      <c r="S498" t="str">
        <f t="shared" si="47"/>
        <v>2</v>
      </c>
    </row>
    <row r="499" spans="1:19" x14ac:dyDescent="0.25">
      <c r="A499" t="s">
        <v>518</v>
      </c>
      <c r="B499" t="s">
        <v>11</v>
      </c>
      <c r="C499" t="s">
        <v>17</v>
      </c>
      <c r="D499">
        <v>0</v>
      </c>
      <c r="E499" t="s">
        <v>13</v>
      </c>
      <c r="F499" t="s">
        <v>12</v>
      </c>
      <c r="G499" s="3">
        <v>4625</v>
      </c>
      <c r="H499" s="3">
        <v>2857</v>
      </c>
      <c r="I499" s="3">
        <v>111</v>
      </c>
      <c r="J499">
        <v>12</v>
      </c>
      <c r="K499">
        <v>1</v>
      </c>
      <c r="L499" t="s">
        <v>14</v>
      </c>
      <c r="M499" t="s">
        <v>15</v>
      </c>
      <c r="N499">
        <f t="shared" si="42"/>
        <v>7482</v>
      </c>
      <c r="O499" t="str">
        <f t="shared" si="43"/>
        <v>Medium</v>
      </c>
      <c r="P499" s="4">
        <f t="shared" si="44"/>
        <v>1.483560545308741E-2</v>
      </c>
      <c r="Q499" t="str">
        <f t="shared" si="45"/>
        <v>Medium</v>
      </c>
      <c r="R499" s="19">
        <f t="shared" si="46"/>
        <v>1</v>
      </c>
      <c r="S499" t="str">
        <f t="shared" si="47"/>
        <v>1</v>
      </c>
    </row>
    <row r="500" spans="1:19" x14ac:dyDescent="0.25">
      <c r="A500" t="s">
        <v>519</v>
      </c>
      <c r="B500" t="s">
        <v>11</v>
      </c>
      <c r="C500" t="s">
        <v>17</v>
      </c>
      <c r="D500">
        <v>1</v>
      </c>
      <c r="E500" t="s">
        <v>13</v>
      </c>
      <c r="F500" t="s">
        <v>17</v>
      </c>
      <c r="G500" s="3">
        <v>2895</v>
      </c>
      <c r="H500" s="3">
        <v>0</v>
      </c>
      <c r="I500" s="3">
        <v>95</v>
      </c>
      <c r="J500">
        <v>360</v>
      </c>
      <c r="K500">
        <v>1</v>
      </c>
      <c r="L500" t="s">
        <v>27</v>
      </c>
      <c r="M500" t="s">
        <v>15</v>
      </c>
      <c r="N500">
        <f t="shared" si="42"/>
        <v>2895</v>
      </c>
      <c r="O500" t="str">
        <f t="shared" si="43"/>
        <v>Low</v>
      </c>
      <c r="P500" s="4">
        <f t="shared" si="44"/>
        <v>3.281519861830743E-2</v>
      </c>
      <c r="Q500" t="str">
        <f t="shared" si="45"/>
        <v>Small</v>
      </c>
      <c r="R500" s="19">
        <f t="shared" si="46"/>
        <v>1</v>
      </c>
      <c r="S500" t="str">
        <f t="shared" si="47"/>
        <v>3</v>
      </c>
    </row>
    <row r="501" spans="1:19" x14ac:dyDescent="0.25">
      <c r="A501" t="s">
        <v>520</v>
      </c>
      <c r="B501" t="s">
        <v>11</v>
      </c>
      <c r="C501" t="s">
        <v>12</v>
      </c>
      <c r="D501">
        <v>0</v>
      </c>
      <c r="E501" t="s">
        <v>13</v>
      </c>
      <c r="F501" t="s">
        <v>12</v>
      </c>
      <c r="G501" s="3">
        <v>6283</v>
      </c>
      <c r="H501" s="3">
        <v>4416</v>
      </c>
      <c r="I501" s="3">
        <v>209</v>
      </c>
      <c r="J501">
        <v>360</v>
      </c>
      <c r="K501">
        <v>0</v>
      </c>
      <c r="L501" t="s">
        <v>18</v>
      </c>
      <c r="M501" t="s">
        <v>19</v>
      </c>
      <c r="N501">
        <f t="shared" si="42"/>
        <v>10699</v>
      </c>
      <c r="O501" t="str">
        <f t="shared" si="43"/>
        <v>High</v>
      </c>
      <c r="P501" s="4">
        <f t="shared" si="44"/>
        <v>1.9534535937938125E-2</v>
      </c>
      <c r="Q501" t="str">
        <f t="shared" si="45"/>
        <v>Large</v>
      </c>
      <c r="R501" s="19">
        <f t="shared" si="46"/>
        <v>0</v>
      </c>
      <c r="S501" t="str">
        <f t="shared" si="47"/>
        <v>2</v>
      </c>
    </row>
    <row r="502" spans="1:19" x14ac:dyDescent="0.25">
      <c r="A502" t="s">
        <v>521</v>
      </c>
      <c r="B502" t="s">
        <v>38</v>
      </c>
      <c r="C502" t="s">
        <v>12</v>
      </c>
      <c r="D502">
        <v>0</v>
      </c>
      <c r="E502" t="s">
        <v>13</v>
      </c>
      <c r="F502" t="s">
        <v>12</v>
      </c>
      <c r="G502" s="3">
        <v>645</v>
      </c>
      <c r="H502" s="3">
        <v>3683</v>
      </c>
      <c r="I502" s="3">
        <v>113</v>
      </c>
      <c r="J502">
        <v>480</v>
      </c>
      <c r="K502">
        <v>1</v>
      </c>
      <c r="L502" t="s">
        <v>18</v>
      </c>
      <c r="M502" t="s">
        <v>15</v>
      </c>
      <c r="N502">
        <f t="shared" si="42"/>
        <v>4328</v>
      </c>
      <c r="O502" t="str">
        <f t="shared" si="43"/>
        <v>Medium</v>
      </c>
      <c r="P502" s="4">
        <f t="shared" si="44"/>
        <v>2.6109057301293901E-2</v>
      </c>
      <c r="Q502" t="str">
        <f t="shared" si="45"/>
        <v>Medium</v>
      </c>
      <c r="R502" s="19">
        <f t="shared" si="46"/>
        <v>1</v>
      </c>
      <c r="S502" t="str">
        <f t="shared" si="47"/>
        <v>2</v>
      </c>
    </row>
    <row r="503" spans="1:19" x14ac:dyDescent="0.25">
      <c r="A503" t="s">
        <v>522</v>
      </c>
      <c r="B503" t="s">
        <v>38</v>
      </c>
      <c r="C503" t="s">
        <v>12</v>
      </c>
      <c r="D503">
        <v>0</v>
      </c>
      <c r="E503" t="s">
        <v>13</v>
      </c>
      <c r="F503" t="s">
        <v>12</v>
      </c>
      <c r="G503" s="3">
        <v>3159</v>
      </c>
      <c r="H503" s="3">
        <v>0</v>
      </c>
      <c r="I503" s="3">
        <v>100</v>
      </c>
      <c r="J503">
        <v>360</v>
      </c>
      <c r="K503">
        <v>1</v>
      </c>
      <c r="L503" t="s">
        <v>27</v>
      </c>
      <c r="M503" t="s">
        <v>15</v>
      </c>
      <c r="N503">
        <f t="shared" si="42"/>
        <v>3159</v>
      </c>
      <c r="O503" t="str">
        <f t="shared" si="43"/>
        <v>Low</v>
      </c>
      <c r="P503" s="4">
        <f t="shared" si="44"/>
        <v>3.1655587211142769E-2</v>
      </c>
      <c r="Q503" t="str">
        <f t="shared" si="45"/>
        <v>Medium</v>
      </c>
      <c r="R503" s="19">
        <f t="shared" si="46"/>
        <v>1</v>
      </c>
      <c r="S503" t="str">
        <f t="shared" si="47"/>
        <v>3</v>
      </c>
    </row>
    <row r="504" spans="1:19" x14ac:dyDescent="0.25">
      <c r="A504" t="s">
        <v>523</v>
      </c>
      <c r="B504" t="s">
        <v>11</v>
      </c>
      <c r="C504" t="s">
        <v>17</v>
      </c>
      <c r="D504">
        <v>2</v>
      </c>
      <c r="E504" t="s">
        <v>13</v>
      </c>
      <c r="F504" t="s">
        <v>12</v>
      </c>
      <c r="G504" s="3">
        <v>4865</v>
      </c>
      <c r="H504" s="3">
        <v>5624</v>
      </c>
      <c r="I504" s="3">
        <v>208</v>
      </c>
      <c r="J504">
        <v>360</v>
      </c>
      <c r="K504">
        <v>1</v>
      </c>
      <c r="L504" t="s">
        <v>27</v>
      </c>
      <c r="M504" t="s">
        <v>15</v>
      </c>
      <c r="N504">
        <f t="shared" si="42"/>
        <v>10489</v>
      </c>
      <c r="O504" t="str">
        <f t="shared" si="43"/>
        <v>High</v>
      </c>
      <c r="P504" s="4">
        <f t="shared" si="44"/>
        <v>1.9830298407855849E-2</v>
      </c>
      <c r="Q504" t="str">
        <f t="shared" si="45"/>
        <v>Large</v>
      </c>
      <c r="R504" s="19">
        <f t="shared" si="46"/>
        <v>1</v>
      </c>
      <c r="S504" t="str">
        <f t="shared" si="47"/>
        <v>3</v>
      </c>
    </row>
    <row r="505" spans="1:19" x14ac:dyDescent="0.25">
      <c r="A505" t="s">
        <v>524</v>
      </c>
      <c r="B505" t="s">
        <v>11</v>
      </c>
      <c r="C505" t="s">
        <v>17</v>
      </c>
      <c r="D505">
        <v>1</v>
      </c>
      <c r="E505" t="s">
        <v>22</v>
      </c>
      <c r="F505" t="s">
        <v>12</v>
      </c>
      <c r="G505" s="3">
        <v>4050</v>
      </c>
      <c r="H505" s="3">
        <v>5302</v>
      </c>
      <c r="I505" s="3">
        <v>138</v>
      </c>
      <c r="J505">
        <v>360</v>
      </c>
      <c r="K505">
        <v>0</v>
      </c>
      <c r="L505" t="s">
        <v>18</v>
      </c>
      <c r="M505" t="s">
        <v>19</v>
      </c>
      <c r="N505">
        <f t="shared" si="42"/>
        <v>9352</v>
      </c>
      <c r="O505" t="str">
        <f t="shared" si="43"/>
        <v>High</v>
      </c>
      <c r="P505" s="4">
        <f t="shared" si="44"/>
        <v>1.4756201881950384E-2</v>
      </c>
      <c r="Q505" t="str">
        <f t="shared" si="45"/>
        <v>Medium</v>
      </c>
      <c r="R505" s="19">
        <f t="shared" si="46"/>
        <v>0</v>
      </c>
      <c r="S505" t="str">
        <f t="shared" si="47"/>
        <v>2</v>
      </c>
    </row>
    <row r="506" spans="1:19" x14ac:dyDescent="0.25">
      <c r="A506" t="s">
        <v>525</v>
      </c>
      <c r="B506" t="s">
        <v>11</v>
      </c>
      <c r="C506" t="s">
        <v>17</v>
      </c>
      <c r="D506">
        <v>0</v>
      </c>
      <c r="E506" t="s">
        <v>22</v>
      </c>
      <c r="F506" t="s">
        <v>12</v>
      </c>
      <c r="G506" s="3">
        <v>3814</v>
      </c>
      <c r="H506" s="3">
        <v>1483</v>
      </c>
      <c r="I506" s="3">
        <v>124</v>
      </c>
      <c r="J506">
        <v>300</v>
      </c>
      <c r="K506">
        <v>1</v>
      </c>
      <c r="L506" t="s">
        <v>27</v>
      </c>
      <c r="M506" t="s">
        <v>15</v>
      </c>
      <c r="N506">
        <f t="shared" si="42"/>
        <v>5297</v>
      </c>
      <c r="O506" t="str">
        <f t="shared" si="43"/>
        <v>Medium</v>
      </c>
      <c r="P506" s="4">
        <f t="shared" si="44"/>
        <v>2.34094770624882E-2</v>
      </c>
      <c r="Q506" t="str">
        <f t="shared" si="45"/>
        <v>Medium</v>
      </c>
      <c r="R506" s="19">
        <f t="shared" si="46"/>
        <v>1</v>
      </c>
      <c r="S506" t="str">
        <f t="shared" si="47"/>
        <v>3</v>
      </c>
    </row>
    <row r="507" spans="1:19" x14ac:dyDescent="0.25">
      <c r="A507" t="s">
        <v>526</v>
      </c>
      <c r="B507" t="s">
        <v>11</v>
      </c>
      <c r="C507" t="s">
        <v>17</v>
      </c>
      <c r="D507">
        <v>2</v>
      </c>
      <c r="E507" t="s">
        <v>13</v>
      </c>
      <c r="F507" t="s">
        <v>12</v>
      </c>
      <c r="G507" s="3">
        <v>3510</v>
      </c>
      <c r="H507" s="3">
        <v>4416</v>
      </c>
      <c r="I507" s="3">
        <v>243</v>
      </c>
      <c r="J507">
        <v>360</v>
      </c>
      <c r="K507">
        <v>1</v>
      </c>
      <c r="L507" t="s">
        <v>18</v>
      </c>
      <c r="M507" t="s">
        <v>15</v>
      </c>
      <c r="N507">
        <f t="shared" si="42"/>
        <v>7926</v>
      </c>
      <c r="O507" t="str">
        <f t="shared" si="43"/>
        <v>Medium</v>
      </c>
      <c r="P507" s="4">
        <f t="shared" si="44"/>
        <v>3.0658591975775928E-2</v>
      </c>
      <c r="Q507" t="str">
        <f t="shared" si="45"/>
        <v>Large</v>
      </c>
      <c r="R507" s="19">
        <f t="shared" si="46"/>
        <v>1</v>
      </c>
      <c r="S507" t="str">
        <f t="shared" si="47"/>
        <v>2</v>
      </c>
    </row>
    <row r="508" spans="1:19" x14ac:dyDescent="0.25">
      <c r="A508" t="s">
        <v>527</v>
      </c>
      <c r="B508" t="s">
        <v>11</v>
      </c>
      <c r="C508" t="s">
        <v>17</v>
      </c>
      <c r="D508">
        <v>0</v>
      </c>
      <c r="E508" t="s">
        <v>13</v>
      </c>
      <c r="F508" t="s">
        <v>12</v>
      </c>
      <c r="G508" s="3">
        <v>20833</v>
      </c>
      <c r="H508" s="3">
        <v>6667</v>
      </c>
      <c r="I508" s="3">
        <v>480</v>
      </c>
      <c r="J508">
        <v>360</v>
      </c>
      <c r="K508">
        <v>0</v>
      </c>
      <c r="L508" t="s">
        <v>14</v>
      </c>
      <c r="M508" t="s">
        <v>15</v>
      </c>
      <c r="N508">
        <f t="shared" si="42"/>
        <v>27500</v>
      </c>
      <c r="O508" t="str">
        <f t="shared" si="43"/>
        <v>High</v>
      </c>
      <c r="P508" s="4">
        <f t="shared" si="44"/>
        <v>1.7454545454545455E-2</v>
      </c>
      <c r="Q508" t="str">
        <f t="shared" si="45"/>
        <v>Large</v>
      </c>
      <c r="R508" s="19">
        <f t="shared" si="46"/>
        <v>1</v>
      </c>
      <c r="S508" t="str">
        <f t="shared" si="47"/>
        <v>1</v>
      </c>
    </row>
    <row r="509" spans="1:19" x14ac:dyDescent="0.25">
      <c r="A509" t="s">
        <v>528</v>
      </c>
      <c r="B509" t="s">
        <v>11</v>
      </c>
      <c r="C509" t="s">
        <v>12</v>
      </c>
      <c r="D509">
        <v>0</v>
      </c>
      <c r="E509" t="s">
        <v>13</v>
      </c>
      <c r="F509" t="s">
        <v>12</v>
      </c>
      <c r="G509" s="3">
        <v>3583</v>
      </c>
      <c r="H509" s="3">
        <v>0</v>
      </c>
      <c r="I509" s="3">
        <v>96</v>
      </c>
      <c r="J509">
        <v>360</v>
      </c>
      <c r="K509">
        <v>1</v>
      </c>
      <c r="L509" t="s">
        <v>14</v>
      </c>
      <c r="M509" t="s">
        <v>19</v>
      </c>
      <c r="N509">
        <f t="shared" si="42"/>
        <v>3583</v>
      </c>
      <c r="O509" t="str">
        <f t="shared" si="43"/>
        <v>Low</v>
      </c>
      <c r="P509" s="4">
        <f t="shared" si="44"/>
        <v>2.6793190064192018E-2</v>
      </c>
      <c r="Q509" t="str">
        <f t="shared" si="45"/>
        <v>Small</v>
      </c>
      <c r="R509" s="19">
        <f t="shared" si="46"/>
        <v>0</v>
      </c>
      <c r="S509" t="str">
        <f t="shared" si="47"/>
        <v>1</v>
      </c>
    </row>
    <row r="510" spans="1:19" x14ac:dyDescent="0.25">
      <c r="A510" t="s">
        <v>529</v>
      </c>
      <c r="B510" t="s">
        <v>11</v>
      </c>
      <c r="C510" t="s">
        <v>17</v>
      </c>
      <c r="D510">
        <v>0</v>
      </c>
      <c r="E510" t="s">
        <v>13</v>
      </c>
      <c r="F510" t="s">
        <v>17</v>
      </c>
      <c r="G510" s="3">
        <v>2479</v>
      </c>
      <c r="H510" s="3">
        <v>3013</v>
      </c>
      <c r="I510" s="3">
        <v>188</v>
      </c>
      <c r="J510">
        <v>360</v>
      </c>
      <c r="K510">
        <v>1</v>
      </c>
      <c r="L510" t="s">
        <v>14</v>
      </c>
      <c r="M510" t="s">
        <v>15</v>
      </c>
      <c r="N510">
        <f t="shared" si="42"/>
        <v>5492</v>
      </c>
      <c r="O510" t="str">
        <f t="shared" si="43"/>
        <v>Medium</v>
      </c>
      <c r="P510" s="4">
        <f t="shared" si="44"/>
        <v>3.4231609613983978E-2</v>
      </c>
      <c r="Q510" t="str">
        <f t="shared" si="45"/>
        <v>Medium</v>
      </c>
      <c r="R510" s="19">
        <f t="shared" si="46"/>
        <v>1</v>
      </c>
      <c r="S510" t="str">
        <f t="shared" si="47"/>
        <v>1</v>
      </c>
    </row>
    <row r="511" spans="1:19" x14ac:dyDescent="0.25">
      <c r="A511" t="s">
        <v>530</v>
      </c>
      <c r="B511" t="s">
        <v>38</v>
      </c>
      <c r="C511" t="s">
        <v>12</v>
      </c>
      <c r="D511">
        <v>1</v>
      </c>
      <c r="E511" t="s">
        <v>13</v>
      </c>
      <c r="F511" t="s">
        <v>12</v>
      </c>
      <c r="G511" s="3">
        <v>13262</v>
      </c>
      <c r="H511" s="3">
        <v>0</v>
      </c>
      <c r="I511" s="3">
        <v>40</v>
      </c>
      <c r="J511">
        <v>360</v>
      </c>
      <c r="K511">
        <v>1</v>
      </c>
      <c r="L511" t="s">
        <v>14</v>
      </c>
      <c r="M511" t="s">
        <v>15</v>
      </c>
      <c r="N511">
        <f t="shared" si="42"/>
        <v>13262</v>
      </c>
      <c r="O511" t="str">
        <f t="shared" si="43"/>
        <v>High</v>
      </c>
      <c r="P511" s="4">
        <f t="shared" si="44"/>
        <v>3.0161363293620871E-3</v>
      </c>
      <c r="Q511" t="str">
        <f t="shared" si="45"/>
        <v>Small</v>
      </c>
      <c r="R511" s="19">
        <f t="shared" si="46"/>
        <v>1</v>
      </c>
      <c r="S511" t="str">
        <f t="shared" si="47"/>
        <v>1</v>
      </c>
    </row>
    <row r="512" spans="1:19" x14ac:dyDescent="0.25">
      <c r="A512" t="s">
        <v>531</v>
      </c>
      <c r="B512" t="s">
        <v>11</v>
      </c>
      <c r="C512" t="s">
        <v>12</v>
      </c>
      <c r="D512">
        <v>0</v>
      </c>
      <c r="E512" t="s">
        <v>22</v>
      </c>
      <c r="F512" t="s">
        <v>12</v>
      </c>
      <c r="G512" s="3">
        <v>3598</v>
      </c>
      <c r="H512" s="3">
        <v>1287</v>
      </c>
      <c r="I512" s="3">
        <v>100</v>
      </c>
      <c r="J512">
        <v>360</v>
      </c>
      <c r="K512">
        <v>1</v>
      </c>
      <c r="L512" t="s">
        <v>18</v>
      </c>
      <c r="M512" t="s">
        <v>19</v>
      </c>
      <c r="N512">
        <f t="shared" si="42"/>
        <v>4885</v>
      </c>
      <c r="O512" t="str">
        <f t="shared" si="43"/>
        <v>Medium</v>
      </c>
      <c r="P512" s="4">
        <f t="shared" si="44"/>
        <v>2.0470829068577279E-2</v>
      </c>
      <c r="Q512" t="str">
        <f t="shared" si="45"/>
        <v>Medium</v>
      </c>
      <c r="R512" s="19">
        <f t="shared" si="46"/>
        <v>0</v>
      </c>
      <c r="S512" t="str">
        <f t="shared" si="47"/>
        <v>2</v>
      </c>
    </row>
    <row r="513" spans="1:19" x14ac:dyDescent="0.25">
      <c r="A513" t="s">
        <v>532</v>
      </c>
      <c r="B513" t="s">
        <v>11</v>
      </c>
      <c r="C513" t="s">
        <v>17</v>
      </c>
      <c r="D513">
        <v>1</v>
      </c>
      <c r="E513" t="s">
        <v>13</v>
      </c>
      <c r="F513" t="s">
        <v>12</v>
      </c>
      <c r="G513" s="3">
        <v>6065</v>
      </c>
      <c r="H513" s="3">
        <v>2004</v>
      </c>
      <c r="I513" s="3">
        <v>250</v>
      </c>
      <c r="J513">
        <v>360</v>
      </c>
      <c r="K513">
        <v>1</v>
      </c>
      <c r="L513" t="s">
        <v>27</v>
      </c>
      <c r="M513" t="s">
        <v>15</v>
      </c>
      <c r="N513">
        <f t="shared" si="42"/>
        <v>8069</v>
      </c>
      <c r="O513" t="str">
        <f t="shared" si="43"/>
        <v>High</v>
      </c>
      <c r="P513" s="4">
        <f t="shared" si="44"/>
        <v>3.0982773577890692E-2</v>
      </c>
      <c r="Q513" t="str">
        <f t="shared" si="45"/>
        <v>Large</v>
      </c>
      <c r="R513" s="19">
        <f t="shared" si="46"/>
        <v>1</v>
      </c>
      <c r="S513" t="str">
        <f t="shared" si="47"/>
        <v>3</v>
      </c>
    </row>
    <row r="514" spans="1:19" x14ac:dyDescent="0.25">
      <c r="A514" t="s">
        <v>533</v>
      </c>
      <c r="B514" t="s">
        <v>11</v>
      </c>
      <c r="C514" t="s">
        <v>17</v>
      </c>
      <c r="D514">
        <v>2</v>
      </c>
      <c r="E514" t="s">
        <v>13</v>
      </c>
      <c r="F514" t="s">
        <v>12</v>
      </c>
      <c r="G514" s="3">
        <v>3283</v>
      </c>
      <c r="H514" s="3">
        <v>2035</v>
      </c>
      <c r="I514" s="3">
        <v>148</v>
      </c>
      <c r="J514">
        <v>360</v>
      </c>
      <c r="K514">
        <v>1</v>
      </c>
      <c r="L514" t="s">
        <v>14</v>
      </c>
      <c r="M514" t="s">
        <v>15</v>
      </c>
      <c r="N514">
        <f t="shared" si="42"/>
        <v>5318</v>
      </c>
      <c r="O514" t="str">
        <f t="shared" si="43"/>
        <v>Medium</v>
      </c>
      <c r="P514" s="4">
        <f t="shared" si="44"/>
        <v>2.7830011282437006E-2</v>
      </c>
      <c r="Q514" t="str">
        <f t="shared" si="45"/>
        <v>Medium</v>
      </c>
      <c r="R514" s="19">
        <f t="shared" si="46"/>
        <v>1</v>
      </c>
      <c r="S514" t="str">
        <f t="shared" si="47"/>
        <v>1</v>
      </c>
    </row>
    <row r="515" spans="1:19" x14ac:dyDescent="0.25">
      <c r="A515" t="s">
        <v>534</v>
      </c>
      <c r="B515" t="s">
        <v>11</v>
      </c>
      <c r="C515" t="s">
        <v>17</v>
      </c>
      <c r="D515">
        <v>0</v>
      </c>
      <c r="E515" t="s">
        <v>13</v>
      </c>
      <c r="F515" t="s">
        <v>12</v>
      </c>
      <c r="G515" s="3">
        <v>2130</v>
      </c>
      <c r="H515" s="3">
        <v>6666</v>
      </c>
      <c r="I515" s="3">
        <v>70</v>
      </c>
      <c r="J515">
        <v>180</v>
      </c>
      <c r="K515">
        <v>1</v>
      </c>
      <c r="L515" t="s">
        <v>27</v>
      </c>
      <c r="M515" t="s">
        <v>19</v>
      </c>
      <c r="N515">
        <f t="shared" ref="N515:N578" si="48">G515+H515</f>
        <v>8796</v>
      </c>
      <c r="O515" t="str">
        <f t="shared" ref="O515:O578" si="49">IF(N515&lt;4000,"Low", IF(N515&lt;8000, "Medium", "High"))</f>
        <v>High</v>
      </c>
      <c r="P515" s="4">
        <f t="shared" ref="P515:P578" si="50">I515/N515</f>
        <v>7.9581628012733059E-3</v>
      </c>
      <c r="Q515" t="str">
        <f t="shared" ref="Q515:Q578" si="51">IF(I515&lt;100, "Small", IF(I515&lt;200, "Medium", "Large"))</f>
        <v>Small</v>
      </c>
      <c r="R515" s="19">
        <f t="shared" ref="R515:R578" si="52">IF(M515="Y", 1*1, 1*0)</f>
        <v>0</v>
      </c>
      <c r="S515" t="str">
        <f t="shared" ref="S515:S578" si="53">IF(L515="Urban","1", IF(L515="Rural", "2", IF(L515="Semiurban","3")))</f>
        <v>3</v>
      </c>
    </row>
    <row r="516" spans="1:19" x14ac:dyDescent="0.25">
      <c r="A516" t="s">
        <v>535</v>
      </c>
      <c r="B516" t="s">
        <v>11</v>
      </c>
      <c r="C516" t="s">
        <v>12</v>
      </c>
      <c r="D516">
        <v>0</v>
      </c>
      <c r="E516" t="s">
        <v>13</v>
      </c>
      <c r="F516" t="s">
        <v>12</v>
      </c>
      <c r="G516" s="3">
        <v>5815</v>
      </c>
      <c r="H516" s="3">
        <v>3666</v>
      </c>
      <c r="I516" s="3">
        <v>311</v>
      </c>
      <c r="J516">
        <v>360</v>
      </c>
      <c r="K516">
        <v>1</v>
      </c>
      <c r="L516" t="s">
        <v>18</v>
      </c>
      <c r="M516" t="s">
        <v>19</v>
      </c>
      <c r="N516">
        <f t="shared" si="48"/>
        <v>9481</v>
      </c>
      <c r="O516" t="str">
        <f t="shared" si="49"/>
        <v>High</v>
      </c>
      <c r="P516" s="4">
        <f t="shared" si="50"/>
        <v>3.2802446999261679E-2</v>
      </c>
      <c r="Q516" t="str">
        <f t="shared" si="51"/>
        <v>Large</v>
      </c>
      <c r="R516" s="19">
        <f t="shared" si="52"/>
        <v>0</v>
      </c>
      <c r="S516" t="str">
        <f t="shared" si="53"/>
        <v>2</v>
      </c>
    </row>
    <row r="517" spans="1:19" x14ac:dyDescent="0.25">
      <c r="A517" t="s">
        <v>536</v>
      </c>
      <c r="B517" t="s">
        <v>11</v>
      </c>
      <c r="C517" t="s">
        <v>17</v>
      </c>
      <c r="D517">
        <v>3</v>
      </c>
      <c r="E517" t="s">
        <v>13</v>
      </c>
      <c r="F517" t="s">
        <v>12</v>
      </c>
      <c r="G517" s="3">
        <v>3466</v>
      </c>
      <c r="H517" s="3">
        <v>3428</v>
      </c>
      <c r="I517" s="3">
        <v>150</v>
      </c>
      <c r="J517">
        <v>360</v>
      </c>
      <c r="K517">
        <v>1</v>
      </c>
      <c r="L517" t="s">
        <v>18</v>
      </c>
      <c r="M517" t="s">
        <v>15</v>
      </c>
      <c r="N517">
        <f t="shared" si="48"/>
        <v>6894</v>
      </c>
      <c r="O517" t="str">
        <f t="shared" si="49"/>
        <v>Medium</v>
      </c>
      <c r="P517" s="4">
        <f t="shared" si="50"/>
        <v>2.1758050478677109E-2</v>
      </c>
      <c r="Q517" t="str">
        <f t="shared" si="51"/>
        <v>Medium</v>
      </c>
      <c r="R517" s="19">
        <f t="shared" si="52"/>
        <v>1</v>
      </c>
      <c r="S517" t="str">
        <f t="shared" si="53"/>
        <v>2</v>
      </c>
    </row>
    <row r="518" spans="1:19" x14ac:dyDescent="0.25">
      <c r="A518" t="s">
        <v>537</v>
      </c>
      <c r="B518" t="s">
        <v>38</v>
      </c>
      <c r="C518" t="s">
        <v>17</v>
      </c>
      <c r="D518">
        <v>2</v>
      </c>
      <c r="E518" t="s">
        <v>13</v>
      </c>
      <c r="F518" t="s">
        <v>12</v>
      </c>
      <c r="G518" s="3">
        <v>2031</v>
      </c>
      <c r="H518" s="3">
        <v>1632</v>
      </c>
      <c r="I518" s="3">
        <v>113</v>
      </c>
      <c r="J518">
        <v>480</v>
      </c>
      <c r="K518">
        <v>1</v>
      </c>
      <c r="L518" t="s">
        <v>27</v>
      </c>
      <c r="M518" t="s">
        <v>15</v>
      </c>
      <c r="N518">
        <f t="shared" si="48"/>
        <v>3663</v>
      </c>
      <c r="O518" t="str">
        <f t="shared" si="49"/>
        <v>Low</v>
      </c>
      <c r="P518" s="4">
        <f t="shared" si="50"/>
        <v>3.0849030849030849E-2</v>
      </c>
      <c r="Q518" t="str">
        <f t="shared" si="51"/>
        <v>Medium</v>
      </c>
      <c r="R518" s="19">
        <f t="shared" si="52"/>
        <v>1</v>
      </c>
      <c r="S518" t="str">
        <f t="shared" si="53"/>
        <v>3</v>
      </c>
    </row>
    <row r="519" spans="1:19" x14ac:dyDescent="0.25">
      <c r="A519" t="s">
        <v>538</v>
      </c>
      <c r="B519" t="s">
        <v>11</v>
      </c>
      <c r="C519" t="s">
        <v>17</v>
      </c>
      <c r="D519">
        <v>0</v>
      </c>
      <c r="E519" t="s">
        <v>22</v>
      </c>
      <c r="F519" t="s">
        <v>12</v>
      </c>
      <c r="G519" s="3">
        <v>3074</v>
      </c>
      <c r="H519" s="3">
        <v>1800</v>
      </c>
      <c r="I519" s="3">
        <v>123</v>
      </c>
      <c r="J519">
        <v>360</v>
      </c>
      <c r="K519">
        <v>0</v>
      </c>
      <c r="L519" t="s">
        <v>27</v>
      </c>
      <c r="M519" t="s">
        <v>19</v>
      </c>
      <c r="N519">
        <f t="shared" si="48"/>
        <v>4874</v>
      </c>
      <c r="O519" t="str">
        <f t="shared" si="49"/>
        <v>Medium</v>
      </c>
      <c r="P519" s="4">
        <f t="shared" si="50"/>
        <v>2.5235945835043086E-2</v>
      </c>
      <c r="Q519" t="str">
        <f t="shared" si="51"/>
        <v>Medium</v>
      </c>
      <c r="R519" s="19">
        <f t="shared" si="52"/>
        <v>0</v>
      </c>
      <c r="S519" t="str">
        <f t="shared" si="53"/>
        <v>3</v>
      </c>
    </row>
    <row r="520" spans="1:19" x14ac:dyDescent="0.25">
      <c r="A520" t="s">
        <v>539</v>
      </c>
      <c r="B520" t="s">
        <v>11</v>
      </c>
      <c r="C520" t="s">
        <v>12</v>
      </c>
      <c r="D520">
        <v>0</v>
      </c>
      <c r="E520" t="s">
        <v>13</v>
      </c>
      <c r="F520" t="s">
        <v>12</v>
      </c>
      <c r="G520" s="3">
        <v>4683</v>
      </c>
      <c r="H520" s="3">
        <v>1915</v>
      </c>
      <c r="I520" s="3">
        <v>185</v>
      </c>
      <c r="J520">
        <v>360</v>
      </c>
      <c r="K520">
        <v>1</v>
      </c>
      <c r="L520" t="s">
        <v>27</v>
      </c>
      <c r="M520" t="s">
        <v>19</v>
      </c>
      <c r="N520">
        <f t="shared" si="48"/>
        <v>6598</v>
      </c>
      <c r="O520" t="str">
        <f t="shared" si="49"/>
        <v>Medium</v>
      </c>
      <c r="P520" s="4">
        <f t="shared" si="50"/>
        <v>2.8038799636253411E-2</v>
      </c>
      <c r="Q520" t="str">
        <f t="shared" si="51"/>
        <v>Medium</v>
      </c>
      <c r="R520" s="19">
        <f t="shared" si="52"/>
        <v>0</v>
      </c>
      <c r="S520" t="str">
        <f t="shared" si="53"/>
        <v>3</v>
      </c>
    </row>
    <row r="521" spans="1:19" x14ac:dyDescent="0.25">
      <c r="A521" t="s">
        <v>540</v>
      </c>
      <c r="B521" t="s">
        <v>38</v>
      </c>
      <c r="C521" t="s">
        <v>12</v>
      </c>
      <c r="D521">
        <v>0</v>
      </c>
      <c r="E521" t="s">
        <v>22</v>
      </c>
      <c r="F521" t="s">
        <v>12</v>
      </c>
      <c r="G521" s="3">
        <v>3400</v>
      </c>
      <c r="H521" s="3">
        <v>0</v>
      </c>
      <c r="I521" s="3">
        <v>95</v>
      </c>
      <c r="J521">
        <v>360</v>
      </c>
      <c r="K521">
        <v>1</v>
      </c>
      <c r="L521" t="s">
        <v>18</v>
      </c>
      <c r="M521" t="s">
        <v>19</v>
      </c>
      <c r="N521">
        <f t="shared" si="48"/>
        <v>3400</v>
      </c>
      <c r="O521" t="str">
        <f t="shared" si="49"/>
        <v>Low</v>
      </c>
      <c r="P521" s="4">
        <f t="shared" si="50"/>
        <v>2.7941176470588237E-2</v>
      </c>
      <c r="Q521" t="str">
        <f t="shared" si="51"/>
        <v>Small</v>
      </c>
      <c r="R521" s="19">
        <f t="shared" si="52"/>
        <v>0</v>
      </c>
      <c r="S521" t="str">
        <f t="shared" si="53"/>
        <v>2</v>
      </c>
    </row>
    <row r="522" spans="1:19" x14ac:dyDescent="0.25">
      <c r="A522" t="s">
        <v>541</v>
      </c>
      <c r="B522" t="s">
        <v>11</v>
      </c>
      <c r="C522" t="s">
        <v>17</v>
      </c>
      <c r="D522">
        <v>2</v>
      </c>
      <c r="E522" t="s">
        <v>22</v>
      </c>
      <c r="F522" t="s">
        <v>12</v>
      </c>
      <c r="G522" s="3">
        <v>2192</v>
      </c>
      <c r="H522" s="3">
        <v>1742</v>
      </c>
      <c r="I522" s="3">
        <v>45</v>
      </c>
      <c r="J522">
        <v>360</v>
      </c>
      <c r="K522">
        <v>1</v>
      </c>
      <c r="L522" t="s">
        <v>27</v>
      </c>
      <c r="M522" t="s">
        <v>15</v>
      </c>
      <c r="N522">
        <f t="shared" si="48"/>
        <v>3934</v>
      </c>
      <c r="O522" t="str">
        <f t="shared" si="49"/>
        <v>Low</v>
      </c>
      <c r="P522" s="4">
        <f t="shared" si="50"/>
        <v>1.1438739196746314E-2</v>
      </c>
      <c r="Q522" t="str">
        <f t="shared" si="51"/>
        <v>Small</v>
      </c>
      <c r="R522" s="19">
        <f t="shared" si="52"/>
        <v>1</v>
      </c>
      <c r="S522" t="str">
        <f t="shared" si="53"/>
        <v>3</v>
      </c>
    </row>
    <row r="523" spans="1:19" x14ac:dyDescent="0.25">
      <c r="A523" t="s">
        <v>542</v>
      </c>
      <c r="B523" t="s">
        <v>11</v>
      </c>
      <c r="C523" t="s">
        <v>12</v>
      </c>
      <c r="D523">
        <v>0</v>
      </c>
      <c r="E523" t="s">
        <v>13</v>
      </c>
      <c r="F523" t="s">
        <v>12</v>
      </c>
      <c r="G523" s="3">
        <v>2500</v>
      </c>
      <c r="H523" s="3">
        <v>0</v>
      </c>
      <c r="I523" s="3">
        <v>55</v>
      </c>
      <c r="J523">
        <v>360</v>
      </c>
      <c r="K523">
        <v>1</v>
      </c>
      <c r="L523" t="s">
        <v>27</v>
      </c>
      <c r="M523" t="s">
        <v>15</v>
      </c>
      <c r="N523">
        <f t="shared" si="48"/>
        <v>2500</v>
      </c>
      <c r="O523" t="str">
        <f t="shared" si="49"/>
        <v>Low</v>
      </c>
      <c r="P523" s="4">
        <f t="shared" si="50"/>
        <v>2.1999999999999999E-2</v>
      </c>
      <c r="Q523" t="str">
        <f t="shared" si="51"/>
        <v>Small</v>
      </c>
      <c r="R523" s="19">
        <f t="shared" si="52"/>
        <v>1</v>
      </c>
      <c r="S523" t="str">
        <f t="shared" si="53"/>
        <v>3</v>
      </c>
    </row>
    <row r="524" spans="1:19" x14ac:dyDescent="0.25">
      <c r="A524" t="s">
        <v>543</v>
      </c>
      <c r="B524" t="s">
        <v>11</v>
      </c>
      <c r="C524" t="s">
        <v>17</v>
      </c>
      <c r="D524">
        <v>3</v>
      </c>
      <c r="E524" t="s">
        <v>13</v>
      </c>
      <c r="F524" t="s">
        <v>17</v>
      </c>
      <c r="G524" s="3">
        <v>5677</v>
      </c>
      <c r="H524" s="3">
        <v>1424</v>
      </c>
      <c r="I524" s="3">
        <v>100</v>
      </c>
      <c r="J524">
        <v>360</v>
      </c>
      <c r="K524">
        <v>1</v>
      </c>
      <c r="L524" t="s">
        <v>18</v>
      </c>
      <c r="M524" t="s">
        <v>15</v>
      </c>
      <c r="N524">
        <f t="shared" si="48"/>
        <v>7101</v>
      </c>
      <c r="O524" t="str">
        <f t="shared" si="49"/>
        <v>Medium</v>
      </c>
      <c r="P524" s="4">
        <f t="shared" si="50"/>
        <v>1.408252358822701E-2</v>
      </c>
      <c r="Q524" t="str">
        <f t="shared" si="51"/>
        <v>Medium</v>
      </c>
      <c r="R524" s="19">
        <f t="shared" si="52"/>
        <v>1</v>
      </c>
      <c r="S524" t="str">
        <f t="shared" si="53"/>
        <v>2</v>
      </c>
    </row>
    <row r="525" spans="1:19" x14ac:dyDescent="0.25">
      <c r="A525" t="s">
        <v>544</v>
      </c>
      <c r="B525" t="s">
        <v>11</v>
      </c>
      <c r="C525" t="s">
        <v>17</v>
      </c>
      <c r="D525">
        <v>2</v>
      </c>
      <c r="E525" t="s">
        <v>13</v>
      </c>
      <c r="F525" t="s">
        <v>17</v>
      </c>
      <c r="G525" s="3">
        <v>7948</v>
      </c>
      <c r="H525" s="3">
        <v>7166</v>
      </c>
      <c r="I525" s="3">
        <v>480</v>
      </c>
      <c r="J525">
        <v>360</v>
      </c>
      <c r="K525">
        <v>1</v>
      </c>
      <c r="L525" t="s">
        <v>18</v>
      </c>
      <c r="M525" t="s">
        <v>15</v>
      </c>
      <c r="N525">
        <f t="shared" si="48"/>
        <v>15114</v>
      </c>
      <c r="O525" t="str">
        <f t="shared" si="49"/>
        <v>High</v>
      </c>
      <c r="P525" s="4">
        <f t="shared" si="50"/>
        <v>3.1758634378721715E-2</v>
      </c>
      <c r="Q525" t="str">
        <f t="shared" si="51"/>
        <v>Large</v>
      </c>
      <c r="R525" s="19">
        <f t="shared" si="52"/>
        <v>1</v>
      </c>
      <c r="S525" t="str">
        <f t="shared" si="53"/>
        <v>2</v>
      </c>
    </row>
    <row r="526" spans="1:19" x14ac:dyDescent="0.25">
      <c r="A526" t="s">
        <v>545</v>
      </c>
      <c r="B526" t="s">
        <v>11</v>
      </c>
      <c r="C526" t="s">
        <v>12</v>
      </c>
      <c r="D526">
        <v>0</v>
      </c>
      <c r="E526" t="s">
        <v>13</v>
      </c>
      <c r="F526" t="s">
        <v>12</v>
      </c>
      <c r="G526" s="3">
        <v>4680</v>
      </c>
      <c r="H526" s="3">
        <v>2087</v>
      </c>
      <c r="I526" s="3">
        <v>0</v>
      </c>
      <c r="J526">
        <v>360</v>
      </c>
      <c r="K526">
        <v>1</v>
      </c>
      <c r="L526" t="s">
        <v>27</v>
      </c>
      <c r="M526" t="s">
        <v>19</v>
      </c>
      <c r="N526">
        <f t="shared" si="48"/>
        <v>6767</v>
      </c>
      <c r="O526" t="str">
        <f t="shared" si="49"/>
        <v>Medium</v>
      </c>
      <c r="P526" s="4">
        <f t="shared" si="50"/>
        <v>0</v>
      </c>
      <c r="Q526" t="str">
        <f t="shared" si="51"/>
        <v>Small</v>
      </c>
      <c r="R526" s="19">
        <f t="shared" si="52"/>
        <v>0</v>
      </c>
      <c r="S526" t="str">
        <f t="shared" si="53"/>
        <v>3</v>
      </c>
    </row>
    <row r="527" spans="1:19" x14ac:dyDescent="0.25">
      <c r="A527" t="s">
        <v>546</v>
      </c>
      <c r="B527" t="s">
        <v>11</v>
      </c>
      <c r="C527" t="s">
        <v>17</v>
      </c>
      <c r="D527">
        <v>2</v>
      </c>
      <c r="E527" t="s">
        <v>13</v>
      </c>
      <c r="F527" t="s">
        <v>17</v>
      </c>
      <c r="G527" s="3">
        <v>17500</v>
      </c>
      <c r="H527" s="3">
        <v>0</v>
      </c>
      <c r="I527" s="3">
        <v>400</v>
      </c>
      <c r="J527">
        <v>360</v>
      </c>
      <c r="K527">
        <v>1</v>
      </c>
      <c r="L527" t="s">
        <v>18</v>
      </c>
      <c r="M527" t="s">
        <v>15</v>
      </c>
      <c r="N527">
        <f t="shared" si="48"/>
        <v>17500</v>
      </c>
      <c r="O527" t="str">
        <f t="shared" si="49"/>
        <v>High</v>
      </c>
      <c r="P527" s="4">
        <f t="shared" si="50"/>
        <v>2.2857142857142857E-2</v>
      </c>
      <c r="Q527" t="str">
        <f t="shared" si="51"/>
        <v>Large</v>
      </c>
      <c r="R527" s="19">
        <f t="shared" si="52"/>
        <v>1</v>
      </c>
      <c r="S527" t="str">
        <f t="shared" si="53"/>
        <v>2</v>
      </c>
    </row>
    <row r="528" spans="1:19" x14ac:dyDescent="0.25">
      <c r="A528" t="s">
        <v>547</v>
      </c>
      <c r="B528" t="s">
        <v>11</v>
      </c>
      <c r="C528" t="s">
        <v>17</v>
      </c>
      <c r="D528">
        <v>0</v>
      </c>
      <c r="E528" t="s">
        <v>13</v>
      </c>
      <c r="F528" t="s">
        <v>12</v>
      </c>
      <c r="G528" s="3">
        <v>3775</v>
      </c>
      <c r="H528" s="3">
        <v>0</v>
      </c>
      <c r="I528" s="3">
        <v>110</v>
      </c>
      <c r="J528">
        <v>360</v>
      </c>
      <c r="K528">
        <v>1</v>
      </c>
      <c r="L528" t="s">
        <v>27</v>
      </c>
      <c r="M528" t="s">
        <v>15</v>
      </c>
      <c r="N528">
        <f t="shared" si="48"/>
        <v>3775</v>
      </c>
      <c r="O528" t="str">
        <f t="shared" si="49"/>
        <v>Low</v>
      </c>
      <c r="P528" s="4">
        <f t="shared" si="50"/>
        <v>2.9139072847682121E-2</v>
      </c>
      <c r="Q528" t="str">
        <f t="shared" si="51"/>
        <v>Medium</v>
      </c>
      <c r="R528" s="19">
        <f t="shared" si="52"/>
        <v>1</v>
      </c>
      <c r="S528" t="str">
        <f t="shared" si="53"/>
        <v>3</v>
      </c>
    </row>
    <row r="529" spans="1:19" x14ac:dyDescent="0.25">
      <c r="A529" t="s">
        <v>548</v>
      </c>
      <c r="B529" t="s">
        <v>11</v>
      </c>
      <c r="C529" t="s">
        <v>17</v>
      </c>
      <c r="D529">
        <v>1</v>
      </c>
      <c r="E529" t="s">
        <v>22</v>
      </c>
      <c r="F529" t="s">
        <v>12</v>
      </c>
      <c r="G529" s="3">
        <v>5285</v>
      </c>
      <c r="H529" s="3">
        <v>1430</v>
      </c>
      <c r="I529" s="3">
        <v>161</v>
      </c>
      <c r="J529">
        <v>360</v>
      </c>
      <c r="K529">
        <v>0</v>
      </c>
      <c r="L529" t="s">
        <v>27</v>
      </c>
      <c r="M529" t="s">
        <v>15</v>
      </c>
      <c r="N529">
        <f t="shared" si="48"/>
        <v>6715</v>
      </c>
      <c r="O529" t="str">
        <f t="shared" si="49"/>
        <v>Medium</v>
      </c>
      <c r="P529" s="4">
        <f t="shared" si="50"/>
        <v>2.3976172747580043E-2</v>
      </c>
      <c r="Q529" t="str">
        <f t="shared" si="51"/>
        <v>Medium</v>
      </c>
      <c r="R529" s="19">
        <f t="shared" si="52"/>
        <v>1</v>
      </c>
      <c r="S529" t="str">
        <f t="shared" si="53"/>
        <v>3</v>
      </c>
    </row>
    <row r="530" spans="1:19" x14ac:dyDescent="0.25">
      <c r="A530" t="s">
        <v>549</v>
      </c>
      <c r="B530" t="s">
        <v>11</v>
      </c>
      <c r="C530" t="s">
        <v>12</v>
      </c>
      <c r="D530">
        <v>1</v>
      </c>
      <c r="E530" t="s">
        <v>22</v>
      </c>
      <c r="F530" t="s">
        <v>12</v>
      </c>
      <c r="G530" s="3">
        <v>2679</v>
      </c>
      <c r="H530" s="3">
        <v>1302</v>
      </c>
      <c r="I530" s="3">
        <v>94</v>
      </c>
      <c r="J530">
        <v>360</v>
      </c>
      <c r="K530">
        <v>1</v>
      </c>
      <c r="L530" t="s">
        <v>27</v>
      </c>
      <c r="M530" t="s">
        <v>15</v>
      </c>
      <c r="N530">
        <f t="shared" si="48"/>
        <v>3981</v>
      </c>
      <c r="O530" t="str">
        <f t="shared" si="49"/>
        <v>Low</v>
      </c>
      <c r="P530" s="4">
        <f t="shared" si="50"/>
        <v>2.3612157749309221E-2</v>
      </c>
      <c r="Q530" t="str">
        <f t="shared" si="51"/>
        <v>Small</v>
      </c>
      <c r="R530" s="19">
        <f t="shared" si="52"/>
        <v>1</v>
      </c>
      <c r="S530" t="str">
        <f t="shared" si="53"/>
        <v>3</v>
      </c>
    </row>
    <row r="531" spans="1:19" x14ac:dyDescent="0.25">
      <c r="A531" t="s">
        <v>550</v>
      </c>
      <c r="B531" t="s">
        <v>11</v>
      </c>
      <c r="C531" t="s">
        <v>12</v>
      </c>
      <c r="D531">
        <v>0</v>
      </c>
      <c r="E531" t="s">
        <v>22</v>
      </c>
      <c r="F531" t="s">
        <v>12</v>
      </c>
      <c r="G531" s="3">
        <v>6783</v>
      </c>
      <c r="H531" s="3">
        <v>0</v>
      </c>
      <c r="I531" s="3">
        <v>130</v>
      </c>
      <c r="J531">
        <v>360</v>
      </c>
      <c r="K531">
        <v>1</v>
      </c>
      <c r="L531" t="s">
        <v>27</v>
      </c>
      <c r="M531" t="s">
        <v>15</v>
      </c>
      <c r="N531">
        <f t="shared" si="48"/>
        <v>6783</v>
      </c>
      <c r="O531" t="str">
        <f t="shared" si="49"/>
        <v>Medium</v>
      </c>
      <c r="P531" s="4">
        <f t="shared" si="50"/>
        <v>1.9165560961226596E-2</v>
      </c>
      <c r="Q531" t="str">
        <f t="shared" si="51"/>
        <v>Medium</v>
      </c>
      <c r="R531" s="19">
        <f t="shared" si="52"/>
        <v>1</v>
      </c>
      <c r="S531" t="str">
        <f t="shared" si="53"/>
        <v>3</v>
      </c>
    </row>
    <row r="532" spans="1:19" x14ac:dyDescent="0.25">
      <c r="A532" t="s">
        <v>551</v>
      </c>
      <c r="B532" t="s">
        <v>11</v>
      </c>
      <c r="C532" t="s">
        <v>17</v>
      </c>
      <c r="D532">
        <v>0</v>
      </c>
      <c r="E532" t="s">
        <v>13</v>
      </c>
      <c r="F532" t="s">
        <v>12</v>
      </c>
      <c r="G532" s="3">
        <v>1025</v>
      </c>
      <c r="H532" s="3">
        <v>5500</v>
      </c>
      <c r="I532" s="3">
        <v>216</v>
      </c>
      <c r="J532">
        <v>360</v>
      </c>
      <c r="K532">
        <v>1</v>
      </c>
      <c r="L532" t="s">
        <v>18</v>
      </c>
      <c r="M532" t="s">
        <v>15</v>
      </c>
      <c r="N532">
        <f t="shared" si="48"/>
        <v>6525</v>
      </c>
      <c r="O532" t="str">
        <f t="shared" si="49"/>
        <v>Medium</v>
      </c>
      <c r="P532" s="4">
        <f t="shared" si="50"/>
        <v>3.310344827586207E-2</v>
      </c>
      <c r="Q532" t="str">
        <f t="shared" si="51"/>
        <v>Large</v>
      </c>
      <c r="R532" s="19">
        <f t="shared" si="52"/>
        <v>1</v>
      </c>
      <c r="S532" t="str">
        <f t="shared" si="53"/>
        <v>2</v>
      </c>
    </row>
    <row r="533" spans="1:19" x14ac:dyDescent="0.25">
      <c r="A533" t="s">
        <v>552</v>
      </c>
      <c r="B533" t="s">
        <v>11</v>
      </c>
      <c r="C533" t="s">
        <v>17</v>
      </c>
      <c r="D533">
        <v>3</v>
      </c>
      <c r="E533" t="s">
        <v>13</v>
      </c>
      <c r="F533" t="s">
        <v>12</v>
      </c>
      <c r="G533" s="3">
        <v>4281</v>
      </c>
      <c r="H533" s="3">
        <v>0</v>
      </c>
      <c r="I533" s="3">
        <v>100</v>
      </c>
      <c r="J533">
        <v>360</v>
      </c>
      <c r="K533">
        <v>1</v>
      </c>
      <c r="L533" t="s">
        <v>14</v>
      </c>
      <c r="M533" t="s">
        <v>15</v>
      </c>
      <c r="N533">
        <f t="shared" si="48"/>
        <v>4281</v>
      </c>
      <c r="O533" t="str">
        <f t="shared" si="49"/>
        <v>Medium</v>
      </c>
      <c r="P533" s="4">
        <f t="shared" si="50"/>
        <v>2.3359028264424198E-2</v>
      </c>
      <c r="Q533" t="str">
        <f t="shared" si="51"/>
        <v>Medium</v>
      </c>
      <c r="R533" s="19">
        <f t="shared" si="52"/>
        <v>1</v>
      </c>
      <c r="S533" t="str">
        <f t="shared" si="53"/>
        <v>1</v>
      </c>
    </row>
    <row r="534" spans="1:19" x14ac:dyDescent="0.25">
      <c r="A534" t="s">
        <v>553</v>
      </c>
      <c r="B534" t="s">
        <v>11</v>
      </c>
      <c r="C534" t="s">
        <v>12</v>
      </c>
      <c r="D534">
        <v>2</v>
      </c>
      <c r="E534" t="s">
        <v>13</v>
      </c>
      <c r="F534" t="s">
        <v>12</v>
      </c>
      <c r="G534" s="3">
        <v>3588</v>
      </c>
      <c r="H534" s="3">
        <v>0</v>
      </c>
      <c r="I534" s="3">
        <v>110</v>
      </c>
      <c r="J534">
        <v>360</v>
      </c>
      <c r="K534">
        <v>0</v>
      </c>
      <c r="L534" t="s">
        <v>18</v>
      </c>
      <c r="M534" t="s">
        <v>19</v>
      </c>
      <c r="N534">
        <f t="shared" si="48"/>
        <v>3588</v>
      </c>
      <c r="O534" t="str">
        <f t="shared" si="49"/>
        <v>Low</v>
      </c>
      <c r="P534" s="4">
        <f t="shared" si="50"/>
        <v>3.0657748049052396E-2</v>
      </c>
      <c r="Q534" t="str">
        <f t="shared" si="51"/>
        <v>Medium</v>
      </c>
      <c r="R534" s="19">
        <f t="shared" si="52"/>
        <v>0</v>
      </c>
      <c r="S534" t="str">
        <f t="shared" si="53"/>
        <v>2</v>
      </c>
    </row>
    <row r="535" spans="1:19" x14ac:dyDescent="0.25">
      <c r="A535" t="s">
        <v>554</v>
      </c>
      <c r="B535" t="s">
        <v>11</v>
      </c>
      <c r="C535" t="s">
        <v>12</v>
      </c>
      <c r="D535">
        <v>1</v>
      </c>
      <c r="E535" t="s">
        <v>13</v>
      </c>
      <c r="F535" t="s">
        <v>12</v>
      </c>
      <c r="G535" s="3">
        <v>11250</v>
      </c>
      <c r="H535" s="3">
        <v>0</v>
      </c>
      <c r="I535" s="3">
        <v>196</v>
      </c>
      <c r="J535">
        <v>360</v>
      </c>
      <c r="K535">
        <v>1</v>
      </c>
      <c r="L535" t="s">
        <v>27</v>
      </c>
      <c r="M535" t="s">
        <v>19</v>
      </c>
      <c r="N535">
        <f t="shared" si="48"/>
        <v>11250</v>
      </c>
      <c r="O535" t="str">
        <f t="shared" si="49"/>
        <v>High</v>
      </c>
      <c r="P535" s="4">
        <f t="shared" si="50"/>
        <v>1.7422222222222221E-2</v>
      </c>
      <c r="Q535" t="str">
        <f t="shared" si="51"/>
        <v>Medium</v>
      </c>
      <c r="R535" s="19">
        <f t="shared" si="52"/>
        <v>0</v>
      </c>
      <c r="S535" t="str">
        <f t="shared" si="53"/>
        <v>3</v>
      </c>
    </row>
    <row r="536" spans="1:19" x14ac:dyDescent="0.25">
      <c r="A536" t="s">
        <v>555</v>
      </c>
      <c r="B536" t="s">
        <v>38</v>
      </c>
      <c r="C536" t="s">
        <v>12</v>
      </c>
      <c r="D536">
        <v>0</v>
      </c>
      <c r="E536" t="s">
        <v>22</v>
      </c>
      <c r="F536" t="s">
        <v>17</v>
      </c>
      <c r="G536" s="3">
        <v>18165</v>
      </c>
      <c r="H536" s="3">
        <v>0</v>
      </c>
      <c r="I536" s="3">
        <v>125</v>
      </c>
      <c r="J536">
        <v>360</v>
      </c>
      <c r="K536">
        <v>1</v>
      </c>
      <c r="L536" t="s">
        <v>14</v>
      </c>
      <c r="M536" t="s">
        <v>15</v>
      </c>
      <c r="N536">
        <f t="shared" si="48"/>
        <v>18165</v>
      </c>
      <c r="O536" t="str">
        <f t="shared" si="49"/>
        <v>High</v>
      </c>
      <c r="P536" s="4">
        <f t="shared" si="50"/>
        <v>6.881365262868153E-3</v>
      </c>
      <c r="Q536" t="str">
        <f t="shared" si="51"/>
        <v>Medium</v>
      </c>
      <c r="R536" s="19">
        <f t="shared" si="52"/>
        <v>1</v>
      </c>
      <c r="S536" t="str">
        <f t="shared" si="53"/>
        <v>1</v>
      </c>
    </row>
    <row r="537" spans="1:19" x14ac:dyDescent="0.25">
      <c r="A537" t="s">
        <v>556</v>
      </c>
      <c r="B537" t="s">
        <v>11</v>
      </c>
      <c r="C537" t="s">
        <v>12</v>
      </c>
      <c r="D537">
        <v>0</v>
      </c>
      <c r="E537" t="s">
        <v>22</v>
      </c>
      <c r="F537" t="s">
        <v>12</v>
      </c>
      <c r="G537" s="3">
        <v>2550</v>
      </c>
      <c r="H537" s="3">
        <v>2042</v>
      </c>
      <c r="I537" s="3">
        <v>126</v>
      </c>
      <c r="J537">
        <v>360</v>
      </c>
      <c r="K537">
        <v>1</v>
      </c>
      <c r="L537" t="s">
        <v>18</v>
      </c>
      <c r="M537" t="s">
        <v>15</v>
      </c>
      <c r="N537">
        <f t="shared" si="48"/>
        <v>4592</v>
      </c>
      <c r="O537" t="str">
        <f t="shared" si="49"/>
        <v>Medium</v>
      </c>
      <c r="P537" s="4">
        <f t="shared" si="50"/>
        <v>2.7439024390243903E-2</v>
      </c>
      <c r="Q537" t="str">
        <f t="shared" si="51"/>
        <v>Medium</v>
      </c>
      <c r="R537" s="19">
        <f t="shared" si="52"/>
        <v>1</v>
      </c>
      <c r="S537" t="str">
        <f t="shared" si="53"/>
        <v>2</v>
      </c>
    </row>
    <row r="538" spans="1:19" x14ac:dyDescent="0.25">
      <c r="A538" t="s">
        <v>557</v>
      </c>
      <c r="B538" t="s">
        <v>11</v>
      </c>
      <c r="C538" t="s">
        <v>17</v>
      </c>
      <c r="D538">
        <v>0</v>
      </c>
      <c r="E538" t="s">
        <v>13</v>
      </c>
      <c r="F538" t="s">
        <v>12</v>
      </c>
      <c r="G538" s="3">
        <v>6133</v>
      </c>
      <c r="H538" s="3">
        <v>3906</v>
      </c>
      <c r="I538" s="3">
        <v>324</v>
      </c>
      <c r="J538">
        <v>360</v>
      </c>
      <c r="K538">
        <v>1</v>
      </c>
      <c r="L538" t="s">
        <v>14</v>
      </c>
      <c r="M538" t="s">
        <v>15</v>
      </c>
      <c r="N538">
        <f t="shared" si="48"/>
        <v>10039</v>
      </c>
      <c r="O538" t="str">
        <f t="shared" si="49"/>
        <v>High</v>
      </c>
      <c r="P538" s="4">
        <f t="shared" si="50"/>
        <v>3.2274130889530829E-2</v>
      </c>
      <c r="Q538" t="str">
        <f t="shared" si="51"/>
        <v>Large</v>
      </c>
      <c r="R538" s="19">
        <f t="shared" si="52"/>
        <v>1</v>
      </c>
      <c r="S538" t="str">
        <f t="shared" si="53"/>
        <v>1</v>
      </c>
    </row>
    <row r="539" spans="1:19" x14ac:dyDescent="0.25">
      <c r="A539" t="s">
        <v>558</v>
      </c>
      <c r="B539" t="s">
        <v>11</v>
      </c>
      <c r="C539" t="s">
        <v>12</v>
      </c>
      <c r="D539">
        <v>2</v>
      </c>
      <c r="E539" t="s">
        <v>13</v>
      </c>
      <c r="F539" t="s">
        <v>12</v>
      </c>
      <c r="G539" s="3">
        <v>3617</v>
      </c>
      <c r="H539" s="3">
        <v>0</v>
      </c>
      <c r="I539" s="3">
        <v>107</v>
      </c>
      <c r="J539">
        <v>360</v>
      </c>
      <c r="K539">
        <v>1</v>
      </c>
      <c r="L539" t="s">
        <v>27</v>
      </c>
      <c r="M539" t="s">
        <v>15</v>
      </c>
      <c r="N539">
        <f t="shared" si="48"/>
        <v>3617</v>
      </c>
      <c r="O539" t="str">
        <f t="shared" si="49"/>
        <v>Low</v>
      </c>
      <c r="P539" s="4">
        <f t="shared" si="50"/>
        <v>2.9582526956040918E-2</v>
      </c>
      <c r="Q539" t="str">
        <f t="shared" si="51"/>
        <v>Medium</v>
      </c>
      <c r="R539" s="19">
        <f t="shared" si="52"/>
        <v>1</v>
      </c>
      <c r="S539" t="str">
        <f t="shared" si="53"/>
        <v>3</v>
      </c>
    </row>
    <row r="540" spans="1:19" x14ac:dyDescent="0.25">
      <c r="A540" t="s">
        <v>559</v>
      </c>
      <c r="B540" t="s">
        <v>11</v>
      </c>
      <c r="C540" t="s">
        <v>17</v>
      </c>
      <c r="D540">
        <v>0</v>
      </c>
      <c r="E540" t="s">
        <v>22</v>
      </c>
      <c r="F540" t="s">
        <v>12</v>
      </c>
      <c r="G540" s="3">
        <v>2917</v>
      </c>
      <c r="H540" s="3">
        <v>536</v>
      </c>
      <c r="I540" s="3">
        <v>66</v>
      </c>
      <c r="J540">
        <v>360</v>
      </c>
      <c r="K540">
        <v>1</v>
      </c>
      <c r="L540" t="s">
        <v>18</v>
      </c>
      <c r="M540" t="s">
        <v>19</v>
      </c>
      <c r="N540">
        <f t="shared" si="48"/>
        <v>3453</v>
      </c>
      <c r="O540" t="str">
        <f t="shared" si="49"/>
        <v>Low</v>
      </c>
      <c r="P540" s="4">
        <f t="shared" si="50"/>
        <v>1.9113814074717638E-2</v>
      </c>
      <c r="Q540" t="str">
        <f t="shared" si="51"/>
        <v>Small</v>
      </c>
      <c r="R540" s="19">
        <f t="shared" si="52"/>
        <v>0</v>
      </c>
      <c r="S540" t="str">
        <f t="shared" si="53"/>
        <v>2</v>
      </c>
    </row>
    <row r="541" spans="1:19" x14ac:dyDescent="0.25">
      <c r="A541" t="s">
        <v>560</v>
      </c>
      <c r="B541" t="s">
        <v>11</v>
      </c>
      <c r="C541" t="s">
        <v>17</v>
      </c>
      <c r="D541">
        <v>3</v>
      </c>
      <c r="E541" t="s">
        <v>13</v>
      </c>
      <c r="F541" t="s">
        <v>12</v>
      </c>
      <c r="G541" s="3">
        <v>6417</v>
      </c>
      <c r="H541" s="3">
        <v>0</v>
      </c>
      <c r="I541" s="3">
        <v>157</v>
      </c>
      <c r="J541">
        <v>180</v>
      </c>
      <c r="K541">
        <v>1</v>
      </c>
      <c r="L541" t="s">
        <v>18</v>
      </c>
      <c r="M541" t="s">
        <v>15</v>
      </c>
      <c r="N541">
        <f t="shared" si="48"/>
        <v>6417</v>
      </c>
      <c r="O541" t="str">
        <f t="shared" si="49"/>
        <v>Medium</v>
      </c>
      <c r="P541" s="4">
        <f t="shared" si="50"/>
        <v>2.4466261492909459E-2</v>
      </c>
      <c r="Q541" t="str">
        <f t="shared" si="51"/>
        <v>Medium</v>
      </c>
      <c r="R541" s="19">
        <f t="shared" si="52"/>
        <v>1</v>
      </c>
      <c r="S541" t="str">
        <f t="shared" si="53"/>
        <v>2</v>
      </c>
    </row>
    <row r="542" spans="1:19" x14ac:dyDescent="0.25">
      <c r="A542" t="s">
        <v>561</v>
      </c>
      <c r="B542" t="s">
        <v>38</v>
      </c>
      <c r="C542" t="s">
        <v>17</v>
      </c>
      <c r="D542">
        <v>1</v>
      </c>
      <c r="E542" t="s">
        <v>13</v>
      </c>
      <c r="F542" t="s">
        <v>12</v>
      </c>
      <c r="G542" s="3">
        <v>4608</v>
      </c>
      <c r="H542" s="3">
        <v>2845</v>
      </c>
      <c r="I542" s="3">
        <v>140</v>
      </c>
      <c r="J542">
        <v>180</v>
      </c>
      <c r="K542">
        <v>1</v>
      </c>
      <c r="L542" t="s">
        <v>27</v>
      </c>
      <c r="M542" t="s">
        <v>15</v>
      </c>
      <c r="N542">
        <f t="shared" si="48"/>
        <v>7453</v>
      </c>
      <c r="O542" t="str">
        <f t="shared" si="49"/>
        <v>Medium</v>
      </c>
      <c r="P542" s="4">
        <f t="shared" si="50"/>
        <v>1.8784382128002146E-2</v>
      </c>
      <c r="Q542" t="str">
        <f t="shared" si="51"/>
        <v>Medium</v>
      </c>
      <c r="R542" s="19">
        <f t="shared" si="52"/>
        <v>1</v>
      </c>
      <c r="S542" t="str">
        <f t="shared" si="53"/>
        <v>3</v>
      </c>
    </row>
    <row r="543" spans="1:19" x14ac:dyDescent="0.25">
      <c r="A543" t="s">
        <v>562</v>
      </c>
      <c r="B543" t="s">
        <v>38</v>
      </c>
      <c r="C543" t="s">
        <v>12</v>
      </c>
      <c r="D543">
        <v>0</v>
      </c>
      <c r="E543" t="s">
        <v>13</v>
      </c>
      <c r="F543" t="s">
        <v>12</v>
      </c>
      <c r="G543" s="3">
        <v>2138</v>
      </c>
      <c r="H543" s="3">
        <v>0</v>
      </c>
      <c r="I543" s="3">
        <v>99</v>
      </c>
      <c r="J543">
        <v>360</v>
      </c>
      <c r="K543">
        <v>0</v>
      </c>
      <c r="L543" t="s">
        <v>27</v>
      </c>
      <c r="M543" t="s">
        <v>19</v>
      </c>
      <c r="N543">
        <f t="shared" si="48"/>
        <v>2138</v>
      </c>
      <c r="O543" t="str">
        <f t="shared" si="49"/>
        <v>Low</v>
      </c>
      <c r="P543" s="4">
        <f t="shared" si="50"/>
        <v>4.6304957904583721E-2</v>
      </c>
      <c r="Q543" t="str">
        <f t="shared" si="51"/>
        <v>Small</v>
      </c>
      <c r="R543" s="19">
        <f t="shared" si="52"/>
        <v>0</v>
      </c>
      <c r="S543" t="str">
        <f t="shared" si="53"/>
        <v>3</v>
      </c>
    </row>
    <row r="544" spans="1:19" x14ac:dyDescent="0.25">
      <c r="A544" t="s">
        <v>563</v>
      </c>
      <c r="B544" t="s">
        <v>38</v>
      </c>
      <c r="C544" t="s">
        <v>12</v>
      </c>
      <c r="D544">
        <v>1</v>
      </c>
      <c r="E544" t="s">
        <v>13</v>
      </c>
      <c r="F544" t="s">
        <v>12</v>
      </c>
      <c r="G544" s="3">
        <v>3652</v>
      </c>
      <c r="H544" s="3">
        <v>0</v>
      </c>
      <c r="I544" s="3">
        <v>95</v>
      </c>
      <c r="J544">
        <v>360</v>
      </c>
      <c r="K544">
        <v>1</v>
      </c>
      <c r="L544" t="s">
        <v>27</v>
      </c>
      <c r="M544" t="s">
        <v>15</v>
      </c>
      <c r="N544">
        <f t="shared" si="48"/>
        <v>3652</v>
      </c>
      <c r="O544" t="str">
        <f t="shared" si="49"/>
        <v>Low</v>
      </c>
      <c r="P544" s="4">
        <f t="shared" si="50"/>
        <v>2.6013143483023003E-2</v>
      </c>
      <c r="Q544" t="str">
        <f t="shared" si="51"/>
        <v>Small</v>
      </c>
      <c r="R544" s="19">
        <f t="shared" si="52"/>
        <v>1</v>
      </c>
      <c r="S544" t="str">
        <f t="shared" si="53"/>
        <v>3</v>
      </c>
    </row>
    <row r="545" spans="1:19" x14ac:dyDescent="0.25">
      <c r="A545" t="s">
        <v>564</v>
      </c>
      <c r="B545" t="s">
        <v>11</v>
      </c>
      <c r="C545" t="s">
        <v>17</v>
      </c>
      <c r="D545">
        <v>1</v>
      </c>
      <c r="E545" t="s">
        <v>22</v>
      </c>
      <c r="F545" t="s">
        <v>12</v>
      </c>
      <c r="G545" s="3">
        <v>2239</v>
      </c>
      <c r="H545" s="3">
        <v>2524</v>
      </c>
      <c r="I545" s="3">
        <v>128</v>
      </c>
      <c r="J545">
        <v>360</v>
      </c>
      <c r="K545">
        <v>1</v>
      </c>
      <c r="L545" t="s">
        <v>14</v>
      </c>
      <c r="M545" t="s">
        <v>15</v>
      </c>
      <c r="N545">
        <f t="shared" si="48"/>
        <v>4763</v>
      </c>
      <c r="O545" t="str">
        <f t="shared" si="49"/>
        <v>Medium</v>
      </c>
      <c r="P545" s="4">
        <f t="shared" si="50"/>
        <v>2.6873819021625025E-2</v>
      </c>
      <c r="Q545" t="str">
        <f t="shared" si="51"/>
        <v>Medium</v>
      </c>
      <c r="R545" s="19">
        <f t="shared" si="52"/>
        <v>1</v>
      </c>
      <c r="S545" t="str">
        <f t="shared" si="53"/>
        <v>1</v>
      </c>
    </row>
    <row r="546" spans="1:19" x14ac:dyDescent="0.25">
      <c r="A546" t="s">
        <v>565</v>
      </c>
      <c r="B546" t="s">
        <v>38</v>
      </c>
      <c r="C546" t="s">
        <v>17</v>
      </c>
      <c r="D546">
        <v>0</v>
      </c>
      <c r="E546" t="s">
        <v>22</v>
      </c>
      <c r="F546" t="s">
        <v>12</v>
      </c>
      <c r="G546" s="3">
        <v>3017</v>
      </c>
      <c r="H546" s="3">
        <v>663</v>
      </c>
      <c r="I546" s="3">
        <v>102</v>
      </c>
      <c r="J546">
        <v>360</v>
      </c>
      <c r="K546">
        <v>0</v>
      </c>
      <c r="L546" t="s">
        <v>27</v>
      </c>
      <c r="M546" t="s">
        <v>15</v>
      </c>
      <c r="N546">
        <f t="shared" si="48"/>
        <v>3680</v>
      </c>
      <c r="O546" t="str">
        <f t="shared" si="49"/>
        <v>Low</v>
      </c>
      <c r="P546" s="4">
        <f t="shared" si="50"/>
        <v>2.7717391304347826E-2</v>
      </c>
      <c r="Q546" t="str">
        <f t="shared" si="51"/>
        <v>Medium</v>
      </c>
      <c r="R546" s="19">
        <f t="shared" si="52"/>
        <v>1</v>
      </c>
      <c r="S546" t="str">
        <f t="shared" si="53"/>
        <v>3</v>
      </c>
    </row>
    <row r="547" spans="1:19" x14ac:dyDescent="0.25">
      <c r="A547" t="s">
        <v>566</v>
      </c>
      <c r="B547" t="s">
        <v>11</v>
      </c>
      <c r="C547" t="s">
        <v>17</v>
      </c>
      <c r="D547">
        <v>0</v>
      </c>
      <c r="E547" t="s">
        <v>13</v>
      </c>
      <c r="F547" t="s">
        <v>12</v>
      </c>
      <c r="G547" s="3">
        <v>2768</v>
      </c>
      <c r="H547" s="3">
        <v>1950</v>
      </c>
      <c r="I547" s="3">
        <v>155</v>
      </c>
      <c r="J547">
        <v>360</v>
      </c>
      <c r="K547">
        <v>1</v>
      </c>
      <c r="L547" t="s">
        <v>18</v>
      </c>
      <c r="M547" t="s">
        <v>15</v>
      </c>
      <c r="N547">
        <f t="shared" si="48"/>
        <v>4718</v>
      </c>
      <c r="O547" t="str">
        <f t="shared" si="49"/>
        <v>Medium</v>
      </c>
      <c r="P547" s="4">
        <f t="shared" si="50"/>
        <v>3.2852903772785082E-2</v>
      </c>
      <c r="Q547" t="str">
        <f t="shared" si="51"/>
        <v>Medium</v>
      </c>
      <c r="R547" s="19">
        <f t="shared" si="52"/>
        <v>1</v>
      </c>
      <c r="S547" t="str">
        <f t="shared" si="53"/>
        <v>2</v>
      </c>
    </row>
    <row r="548" spans="1:19" x14ac:dyDescent="0.25">
      <c r="A548" t="s">
        <v>567</v>
      </c>
      <c r="B548" t="s">
        <v>11</v>
      </c>
      <c r="C548" t="s">
        <v>12</v>
      </c>
      <c r="D548">
        <v>0</v>
      </c>
      <c r="E548" t="s">
        <v>22</v>
      </c>
      <c r="F548" t="s">
        <v>12</v>
      </c>
      <c r="G548" s="3">
        <v>3358</v>
      </c>
      <c r="H548" s="3">
        <v>0</v>
      </c>
      <c r="I548" s="3">
        <v>80</v>
      </c>
      <c r="J548">
        <v>36</v>
      </c>
      <c r="K548">
        <v>1</v>
      </c>
      <c r="L548" t="s">
        <v>27</v>
      </c>
      <c r="M548" t="s">
        <v>19</v>
      </c>
      <c r="N548">
        <f t="shared" si="48"/>
        <v>3358</v>
      </c>
      <c r="O548" t="str">
        <f t="shared" si="49"/>
        <v>Low</v>
      </c>
      <c r="P548" s="4">
        <f t="shared" si="50"/>
        <v>2.3823704586063133E-2</v>
      </c>
      <c r="Q548" t="str">
        <f t="shared" si="51"/>
        <v>Small</v>
      </c>
      <c r="R548" s="19">
        <f t="shared" si="52"/>
        <v>0</v>
      </c>
      <c r="S548" t="str">
        <f t="shared" si="53"/>
        <v>3</v>
      </c>
    </row>
    <row r="549" spans="1:19" x14ac:dyDescent="0.25">
      <c r="A549" t="s">
        <v>568</v>
      </c>
      <c r="B549" t="s">
        <v>11</v>
      </c>
      <c r="C549" t="s">
        <v>12</v>
      </c>
      <c r="D549">
        <v>0</v>
      </c>
      <c r="E549" t="s">
        <v>13</v>
      </c>
      <c r="F549" t="s">
        <v>12</v>
      </c>
      <c r="G549" s="3">
        <v>2526</v>
      </c>
      <c r="H549" s="3">
        <v>1783</v>
      </c>
      <c r="I549" s="3">
        <v>145</v>
      </c>
      <c r="J549">
        <v>360</v>
      </c>
      <c r="K549">
        <v>1</v>
      </c>
      <c r="L549" t="s">
        <v>18</v>
      </c>
      <c r="M549" t="s">
        <v>15</v>
      </c>
      <c r="N549">
        <f t="shared" si="48"/>
        <v>4309</v>
      </c>
      <c r="O549" t="str">
        <f t="shared" si="49"/>
        <v>Medium</v>
      </c>
      <c r="P549" s="4">
        <f t="shared" si="50"/>
        <v>3.3650498955674173E-2</v>
      </c>
      <c r="Q549" t="str">
        <f t="shared" si="51"/>
        <v>Medium</v>
      </c>
      <c r="R549" s="19">
        <f t="shared" si="52"/>
        <v>1</v>
      </c>
      <c r="S549" t="str">
        <f t="shared" si="53"/>
        <v>2</v>
      </c>
    </row>
    <row r="550" spans="1:19" x14ac:dyDescent="0.25">
      <c r="A550" t="s">
        <v>569</v>
      </c>
      <c r="B550" t="s">
        <v>38</v>
      </c>
      <c r="C550" t="s">
        <v>12</v>
      </c>
      <c r="D550">
        <v>0</v>
      </c>
      <c r="E550" t="s">
        <v>13</v>
      </c>
      <c r="F550" t="s">
        <v>12</v>
      </c>
      <c r="G550" s="3">
        <v>5000</v>
      </c>
      <c r="H550" s="3">
        <v>0</v>
      </c>
      <c r="I550" s="3">
        <v>103</v>
      </c>
      <c r="J550">
        <v>360</v>
      </c>
      <c r="K550">
        <v>0</v>
      </c>
      <c r="L550" t="s">
        <v>27</v>
      </c>
      <c r="M550" t="s">
        <v>19</v>
      </c>
      <c r="N550">
        <f t="shared" si="48"/>
        <v>5000</v>
      </c>
      <c r="O550" t="str">
        <f t="shared" si="49"/>
        <v>Medium</v>
      </c>
      <c r="P550" s="4">
        <f t="shared" si="50"/>
        <v>2.06E-2</v>
      </c>
      <c r="Q550" t="str">
        <f t="shared" si="51"/>
        <v>Medium</v>
      </c>
      <c r="R550" s="19">
        <f t="shared" si="52"/>
        <v>0</v>
      </c>
      <c r="S550" t="str">
        <f t="shared" si="53"/>
        <v>3</v>
      </c>
    </row>
    <row r="551" spans="1:19" x14ac:dyDescent="0.25">
      <c r="A551" t="s">
        <v>570</v>
      </c>
      <c r="B551" t="s">
        <v>11</v>
      </c>
      <c r="C551" t="s">
        <v>17</v>
      </c>
      <c r="D551">
        <v>0</v>
      </c>
      <c r="E551" t="s">
        <v>13</v>
      </c>
      <c r="F551" t="s">
        <v>12</v>
      </c>
      <c r="G551" s="3">
        <v>2785</v>
      </c>
      <c r="H551" s="3">
        <v>2016</v>
      </c>
      <c r="I551" s="3">
        <v>110</v>
      </c>
      <c r="J551">
        <v>360</v>
      </c>
      <c r="K551">
        <v>1</v>
      </c>
      <c r="L551" t="s">
        <v>18</v>
      </c>
      <c r="M551" t="s">
        <v>15</v>
      </c>
      <c r="N551">
        <f t="shared" si="48"/>
        <v>4801</v>
      </c>
      <c r="O551" t="str">
        <f t="shared" si="49"/>
        <v>Medium</v>
      </c>
      <c r="P551" s="4">
        <f t="shared" si="50"/>
        <v>2.2911893355550928E-2</v>
      </c>
      <c r="Q551" t="str">
        <f t="shared" si="51"/>
        <v>Medium</v>
      </c>
      <c r="R551" s="19">
        <f t="shared" si="52"/>
        <v>1</v>
      </c>
      <c r="S551" t="str">
        <f t="shared" si="53"/>
        <v>2</v>
      </c>
    </row>
    <row r="552" spans="1:19" x14ac:dyDescent="0.25">
      <c r="A552" t="s">
        <v>571</v>
      </c>
      <c r="B552" t="s">
        <v>11</v>
      </c>
      <c r="C552" t="s">
        <v>17</v>
      </c>
      <c r="D552">
        <v>2</v>
      </c>
      <c r="E552" t="s">
        <v>13</v>
      </c>
      <c r="F552" t="s">
        <v>17</v>
      </c>
      <c r="G552" s="3">
        <v>6633</v>
      </c>
      <c r="H552" s="3">
        <v>0</v>
      </c>
      <c r="I552" s="3">
        <v>0</v>
      </c>
      <c r="J552">
        <v>360</v>
      </c>
      <c r="K552">
        <v>0</v>
      </c>
      <c r="L552" t="s">
        <v>18</v>
      </c>
      <c r="M552" t="s">
        <v>19</v>
      </c>
      <c r="N552">
        <f t="shared" si="48"/>
        <v>6633</v>
      </c>
      <c r="O552" t="str">
        <f t="shared" si="49"/>
        <v>Medium</v>
      </c>
      <c r="P552" s="4">
        <f t="shared" si="50"/>
        <v>0</v>
      </c>
      <c r="Q552" t="str">
        <f t="shared" si="51"/>
        <v>Small</v>
      </c>
      <c r="R552" s="19">
        <f t="shared" si="52"/>
        <v>0</v>
      </c>
      <c r="S552" t="str">
        <f t="shared" si="53"/>
        <v>2</v>
      </c>
    </row>
    <row r="553" spans="1:19" x14ac:dyDescent="0.25">
      <c r="A553" t="s">
        <v>572</v>
      </c>
      <c r="B553" t="s">
        <v>11</v>
      </c>
      <c r="C553" t="s">
        <v>17</v>
      </c>
      <c r="D553">
        <v>1</v>
      </c>
      <c r="E553" t="s">
        <v>22</v>
      </c>
      <c r="F553" t="s">
        <v>12</v>
      </c>
      <c r="G553" s="3">
        <v>2492</v>
      </c>
      <c r="H553" s="3">
        <v>2375</v>
      </c>
      <c r="I553" s="3">
        <v>0</v>
      </c>
      <c r="J553">
        <v>360</v>
      </c>
      <c r="K553">
        <v>1</v>
      </c>
      <c r="L553" t="s">
        <v>18</v>
      </c>
      <c r="M553" t="s">
        <v>15</v>
      </c>
      <c r="N553">
        <f t="shared" si="48"/>
        <v>4867</v>
      </c>
      <c r="O553" t="str">
        <f t="shared" si="49"/>
        <v>Medium</v>
      </c>
      <c r="P553" s="4">
        <f t="shared" si="50"/>
        <v>0</v>
      </c>
      <c r="Q553" t="str">
        <f t="shared" si="51"/>
        <v>Small</v>
      </c>
      <c r="R553" s="19">
        <f t="shared" si="52"/>
        <v>1</v>
      </c>
      <c r="S553" t="str">
        <f t="shared" si="53"/>
        <v>2</v>
      </c>
    </row>
    <row r="554" spans="1:19" x14ac:dyDescent="0.25">
      <c r="A554" t="s">
        <v>573</v>
      </c>
      <c r="B554" t="s">
        <v>11</v>
      </c>
      <c r="C554" t="s">
        <v>17</v>
      </c>
      <c r="D554">
        <v>1</v>
      </c>
      <c r="E554" t="s">
        <v>13</v>
      </c>
      <c r="F554" t="s">
        <v>12</v>
      </c>
      <c r="G554" s="3">
        <v>3333</v>
      </c>
      <c r="H554" s="3">
        <v>3250</v>
      </c>
      <c r="I554" s="3">
        <v>158</v>
      </c>
      <c r="J554">
        <v>360</v>
      </c>
      <c r="K554">
        <v>1</v>
      </c>
      <c r="L554" t="s">
        <v>14</v>
      </c>
      <c r="M554" t="s">
        <v>15</v>
      </c>
      <c r="N554">
        <f t="shared" si="48"/>
        <v>6583</v>
      </c>
      <c r="O554" t="str">
        <f t="shared" si="49"/>
        <v>Medium</v>
      </c>
      <c r="P554" s="4">
        <f t="shared" si="50"/>
        <v>2.4001215251405136E-2</v>
      </c>
      <c r="Q554" t="str">
        <f t="shared" si="51"/>
        <v>Medium</v>
      </c>
      <c r="R554" s="19">
        <f t="shared" si="52"/>
        <v>1</v>
      </c>
      <c r="S554" t="str">
        <f t="shared" si="53"/>
        <v>1</v>
      </c>
    </row>
    <row r="555" spans="1:19" x14ac:dyDescent="0.25">
      <c r="A555" t="s">
        <v>574</v>
      </c>
      <c r="B555" t="s">
        <v>11</v>
      </c>
      <c r="C555" t="s">
        <v>17</v>
      </c>
      <c r="D555">
        <v>0</v>
      </c>
      <c r="E555" t="s">
        <v>22</v>
      </c>
      <c r="F555" t="s">
        <v>12</v>
      </c>
      <c r="G555" s="3">
        <v>2454</v>
      </c>
      <c r="H555" s="3">
        <v>2333</v>
      </c>
      <c r="I555" s="3">
        <v>181</v>
      </c>
      <c r="J555">
        <v>360</v>
      </c>
      <c r="K555">
        <v>0</v>
      </c>
      <c r="L555" t="s">
        <v>14</v>
      </c>
      <c r="M555" t="s">
        <v>19</v>
      </c>
      <c r="N555">
        <f t="shared" si="48"/>
        <v>4787</v>
      </c>
      <c r="O555" t="str">
        <f t="shared" si="49"/>
        <v>Medium</v>
      </c>
      <c r="P555" s="4">
        <f t="shared" si="50"/>
        <v>3.7810737413829121E-2</v>
      </c>
      <c r="Q555" t="str">
        <f t="shared" si="51"/>
        <v>Medium</v>
      </c>
      <c r="R555" s="19">
        <f t="shared" si="52"/>
        <v>0</v>
      </c>
      <c r="S555" t="str">
        <f t="shared" si="53"/>
        <v>1</v>
      </c>
    </row>
    <row r="556" spans="1:19" x14ac:dyDescent="0.25">
      <c r="A556" t="s">
        <v>575</v>
      </c>
      <c r="B556" t="s">
        <v>11</v>
      </c>
      <c r="C556" t="s">
        <v>17</v>
      </c>
      <c r="D556">
        <v>0</v>
      </c>
      <c r="E556" t="s">
        <v>13</v>
      </c>
      <c r="F556" t="s">
        <v>12</v>
      </c>
      <c r="G556" s="3">
        <v>3593</v>
      </c>
      <c r="H556" s="3">
        <v>4266</v>
      </c>
      <c r="I556" s="3">
        <v>132</v>
      </c>
      <c r="J556">
        <v>180</v>
      </c>
      <c r="K556">
        <v>0</v>
      </c>
      <c r="L556" t="s">
        <v>18</v>
      </c>
      <c r="M556" t="s">
        <v>19</v>
      </c>
      <c r="N556">
        <f t="shared" si="48"/>
        <v>7859</v>
      </c>
      <c r="O556" t="str">
        <f t="shared" si="49"/>
        <v>Medium</v>
      </c>
      <c r="P556" s="4">
        <f t="shared" si="50"/>
        <v>1.6796030029265809E-2</v>
      </c>
      <c r="Q556" t="str">
        <f t="shared" si="51"/>
        <v>Medium</v>
      </c>
      <c r="R556" s="19">
        <f t="shared" si="52"/>
        <v>0</v>
      </c>
      <c r="S556" t="str">
        <f t="shared" si="53"/>
        <v>2</v>
      </c>
    </row>
    <row r="557" spans="1:19" x14ac:dyDescent="0.25">
      <c r="A557" t="s">
        <v>576</v>
      </c>
      <c r="B557" t="s">
        <v>11</v>
      </c>
      <c r="C557" t="s">
        <v>17</v>
      </c>
      <c r="D557">
        <v>1</v>
      </c>
      <c r="E557" t="s">
        <v>13</v>
      </c>
      <c r="F557" t="s">
        <v>12</v>
      </c>
      <c r="G557" s="3">
        <v>5468</v>
      </c>
      <c r="H557" s="3">
        <v>1032</v>
      </c>
      <c r="I557" s="3">
        <v>26</v>
      </c>
      <c r="J557">
        <v>360</v>
      </c>
      <c r="K557">
        <v>1</v>
      </c>
      <c r="L557" t="s">
        <v>27</v>
      </c>
      <c r="M557" t="s">
        <v>15</v>
      </c>
      <c r="N557">
        <f t="shared" si="48"/>
        <v>6500</v>
      </c>
      <c r="O557" t="str">
        <f t="shared" si="49"/>
        <v>Medium</v>
      </c>
      <c r="P557" s="4">
        <f t="shared" si="50"/>
        <v>4.0000000000000001E-3</v>
      </c>
      <c r="Q557" t="str">
        <f t="shared" si="51"/>
        <v>Small</v>
      </c>
      <c r="R557" s="19">
        <f t="shared" si="52"/>
        <v>1</v>
      </c>
      <c r="S557" t="str">
        <f t="shared" si="53"/>
        <v>3</v>
      </c>
    </row>
    <row r="558" spans="1:19" x14ac:dyDescent="0.25">
      <c r="A558" t="s">
        <v>577</v>
      </c>
      <c r="B558" t="s">
        <v>38</v>
      </c>
      <c r="C558" t="s">
        <v>12</v>
      </c>
      <c r="D558">
        <v>0</v>
      </c>
      <c r="E558" t="s">
        <v>13</v>
      </c>
      <c r="F558" t="s">
        <v>12</v>
      </c>
      <c r="G558" s="3">
        <v>2667</v>
      </c>
      <c r="H558" s="3">
        <v>1625</v>
      </c>
      <c r="I558" s="3">
        <v>84</v>
      </c>
      <c r="J558">
        <v>360</v>
      </c>
      <c r="K558">
        <v>0</v>
      </c>
      <c r="L558" t="s">
        <v>14</v>
      </c>
      <c r="M558" t="s">
        <v>15</v>
      </c>
      <c r="N558">
        <f t="shared" si="48"/>
        <v>4292</v>
      </c>
      <c r="O558" t="str">
        <f t="shared" si="49"/>
        <v>Medium</v>
      </c>
      <c r="P558" s="4">
        <f t="shared" si="50"/>
        <v>1.9571295433364399E-2</v>
      </c>
      <c r="Q558" t="str">
        <f t="shared" si="51"/>
        <v>Small</v>
      </c>
      <c r="R558" s="19">
        <f t="shared" si="52"/>
        <v>1</v>
      </c>
      <c r="S558" t="str">
        <f t="shared" si="53"/>
        <v>1</v>
      </c>
    </row>
    <row r="559" spans="1:19" x14ac:dyDescent="0.25">
      <c r="A559" t="s">
        <v>578</v>
      </c>
      <c r="B559" t="s">
        <v>11</v>
      </c>
      <c r="C559" t="s">
        <v>17</v>
      </c>
      <c r="D559">
        <v>3</v>
      </c>
      <c r="E559" t="s">
        <v>13</v>
      </c>
      <c r="F559" t="s">
        <v>17</v>
      </c>
      <c r="G559" s="3">
        <v>10139</v>
      </c>
      <c r="H559" s="3">
        <v>0</v>
      </c>
      <c r="I559" s="3">
        <v>260</v>
      </c>
      <c r="J559">
        <v>360</v>
      </c>
      <c r="K559">
        <v>1</v>
      </c>
      <c r="L559" t="s">
        <v>27</v>
      </c>
      <c r="M559" t="s">
        <v>15</v>
      </c>
      <c r="N559">
        <f t="shared" si="48"/>
        <v>10139</v>
      </c>
      <c r="O559" t="str">
        <f t="shared" si="49"/>
        <v>High</v>
      </c>
      <c r="P559" s="4">
        <f t="shared" si="50"/>
        <v>2.5643554591182564E-2</v>
      </c>
      <c r="Q559" t="str">
        <f t="shared" si="51"/>
        <v>Large</v>
      </c>
      <c r="R559" s="19">
        <f t="shared" si="52"/>
        <v>1</v>
      </c>
      <c r="S559" t="str">
        <f t="shared" si="53"/>
        <v>3</v>
      </c>
    </row>
    <row r="560" spans="1:19" x14ac:dyDescent="0.25">
      <c r="A560" t="s">
        <v>579</v>
      </c>
      <c r="B560" t="s">
        <v>11</v>
      </c>
      <c r="C560" t="s">
        <v>17</v>
      </c>
      <c r="D560">
        <v>0</v>
      </c>
      <c r="E560" t="s">
        <v>13</v>
      </c>
      <c r="F560" t="s">
        <v>12</v>
      </c>
      <c r="G560" s="3">
        <v>3887</v>
      </c>
      <c r="H560" s="3">
        <v>2669</v>
      </c>
      <c r="I560" s="3">
        <v>162</v>
      </c>
      <c r="J560">
        <v>360</v>
      </c>
      <c r="K560">
        <v>1</v>
      </c>
      <c r="L560" t="s">
        <v>27</v>
      </c>
      <c r="M560" t="s">
        <v>15</v>
      </c>
      <c r="N560">
        <f t="shared" si="48"/>
        <v>6556</v>
      </c>
      <c r="O560" t="str">
        <f t="shared" si="49"/>
        <v>Medium</v>
      </c>
      <c r="P560" s="4">
        <f t="shared" si="50"/>
        <v>2.4710189139719341E-2</v>
      </c>
      <c r="Q560" t="str">
        <f t="shared" si="51"/>
        <v>Medium</v>
      </c>
      <c r="R560" s="19">
        <f t="shared" si="52"/>
        <v>1</v>
      </c>
      <c r="S560" t="str">
        <f t="shared" si="53"/>
        <v>3</v>
      </c>
    </row>
    <row r="561" spans="1:19" x14ac:dyDescent="0.25">
      <c r="A561" t="s">
        <v>580</v>
      </c>
      <c r="B561" t="s">
        <v>38</v>
      </c>
      <c r="C561" t="s">
        <v>17</v>
      </c>
      <c r="D561">
        <v>0</v>
      </c>
      <c r="E561" t="s">
        <v>13</v>
      </c>
      <c r="F561" t="s">
        <v>12</v>
      </c>
      <c r="G561" s="3">
        <v>4180</v>
      </c>
      <c r="H561" s="3">
        <v>2306</v>
      </c>
      <c r="I561" s="3">
        <v>182</v>
      </c>
      <c r="J561">
        <v>360</v>
      </c>
      <c r="K561">
        <v>1</v>
      </c>
      <c r="L561" t="s">
        <v>27</v>
      </c>
      <c r="M561" t="s">
        <v>15</v>
      </c>
      <c r="N561">
        <f t="shared" si="48"/>
        <v>6486</v>
      </c>
      <c r="O561" t="str">
        <f t="shared" si="49"/>
        <v>Medium</v>
      </c>
      <c r="P561" s="4">
        <f t="shared" si="50"/>
        <v>2.8060437866173297E-2</v>
      </c>
      <c r="Q561" t="str">
        <f t="shared" si="51"/>
        <v>Medium</v>
      </c>
      <c r="R561" s="19">
        <f t="shared" si="52"/>
        <v>1</v>
      </c>
      <c r="S561" t="str">
        <f t="shared" si="53"/>
        <v>3</v>
      </c>
    </row>
    <row r="562" spans="1:19" x14ac:dyDescent="0.25">
      <c r="A562" t="s">
        <v>581</v>
      </c>
      <c r="B562" t="s">
        <v>11</v>
      </c>
      <c r="C562" t="s">
        <v>17</v>
      </c>
      <c r="D562">
        <v>2</v>
      </c>
      <c r="E562" t="s">
        <v>22</v>
      </c>
      <c r="F562" t="s">
        <v>12</v>
      </c>
      <c r="G562" s="3">
        <v>3675</v>
      </c>
      <c r="H562" s="3">
        <v>242</v>
      </c>
      <c r="I562" s="3">
        <v>108</v>
      </c>
      <c r="J562">
        <v>360</v>
      </c>
      <c r="K562">
        <v>1</v>
      </c>
      <c r="L562" t="s">
        <v>27</v>
      </c>
      <c r="M562" t="s">
        <v>15</v>
      </c>
      <c r="N562">
        <f t="shared" si="48"/>
        <v>3917</v>
      </c>
      <c r="O562" t="str">
        <f t="shared" si="49"/>
        <v>Low</v>
      </c>
      <c r="P562" s="4">
        <f t="shared" si="50"/>
        <v>2.7572121521572634E-2</v>
      </c>
      <c r="Q562" t="str">
        <f t="shared" si="51"/>
        <v>Medium</v>
      </c>
      <c r="R562" s="19">
        <f t="shared" si="52"/>
        <v>1</v>
      </c>
      <c r="S562" t="str">
        <f t="shared" si="53"/>
        <v>3</v>
      </c>
    </row>
    <row r="563" spans="1:19" x14ac:dyDescent="0.25">
      <c r="A563" t="s">
        <v>582</v>
      </c>
      <c r="B563" t="s">
        <v>38</v>
      </c>
      <c r="C563" t="s">
        <v>17</v>
      </c>
      <c r="D563">
        <v>1</v>
      </c>
      <c r="E563" t="s">
        <v>13</v>
      </c>
      <c r="F563" t="s">
        <v>17</v>
      </c>
      <c r="G563" s="3">
        <v>19484</v>
      </c>
      <c r="H563" s="3">
        <v>0</v>
      </c>
      <c r="I563" s="3">
        <v>600</v>
      </c>
      <c r="J563">
        <v>360</v>
      </c>
      <c r="K563">
        <v>1</v>
      </c>
      <c r="L563" t="s">
        <v>27</v>
      </c>
      <c r="M563" t="s">
        <v>15</v>
      </c>
      <c r="N563">
        <f t="shared" si="48"/>
        <v>19484</v>
      </c>
      <c r="O563" t="str">
        <f t="shared" si="49"/>
        <v>High</v>
      </c>
      <c r="P563" s="4">
        <f t="shared" si="50"/>
        <v>3.079449804968179E-2</v>
      </c>
      <c r="Q563" t="str">
        <f t="shared" si="51"/>
        <v>Large</v>
      </c>
      <c r="R563" s="19">
        <f t="shared" si="52"/>
        <v>1</v>
      </c>
      <c r="S563" t="str">
        <f t="shared" si="53"/>
        <v>3</v>
      </c>
    </row>
    <row r="564" spans="1:19" x14ac:dyDescent="0.25">
      <c r="A564" t="s">
        <v>583</v>
      </c>
      <c r="B564" t="s">
        <v>11</v>
      </c>
      <c r="C564" t="s">
        <v>17</v>
      </c>
      <c r="D564">
        <v>0</v>
      </c>
      <c r="E564" t="s">
        <v>13</v>
      </c>
      <c r="F564" t="s">
        <v>12</v>
      </c>
      <c r="G564" s="3">
        <v>5923</v>
      </c>
      <c r="H564" s="3">
        <v>2054</v>
      </c>
      <c r="I564" s="3">
        <v>211</v>
      </c>
      <c r="J564">
        <v>360</v>
      </c>
      <c r="K564">
        <v>1</v>
      </c>
      <c r="L564" t="s">
        <v>18</v>
      </c>
      <c r="M564" t="s">
        <v>15</v>
      </c>
      <c r="N564">
        <f t="shared" si="48"/>
        <v>7977</v>
      </c>
      <c r="O564" t="str">
        <f t="shared" si="49"/>
        <v>Medium</v>
      </c>
      <c r="P564" s="4">
        <f t="shared" si="50"/>
        <v>2.6451046759433369E-2</v>
      </c>
      <c r="Q564" t="str">
        <f t="shared" si="51"/>
        <v>Large</v>
      </c>
      <c r="R564" s="19">
        <f t="shared" si="52"/>
        <v>1</v>
      </c>
      <c r="S564" t="str">
        <f t="shared" si="53"/>
        <v>2</v>
      </c>
    </row>
    <row r="565" spans="1:19" x14ac:dyDescent="0.25">
      <c r="A565" t="s">
        <v>584</v>
      </c>
      <c r="B565" t="s">
        <v>11</v>
      </c>
      <c r="C565" t="s">
        <v>12</v>
      </c>
      <c r="D565">
        <v>0</v>
      </c>
      <c r="E565" t="s">
        <v>22</v>
      </c>
      <c r="F565" t="s">
        <v>17</v>
      </c>
      <c r="G565" s="3">
        <v>5800</v>
      </c>
      <c r="H565" s="3">
        <v>0</v>
      </c>
      <c r="I565" s="3">
        <v>132</v>
      </c>
      <c r="J565">
        <v>360</v>
      </c>
      <c r="K565">
        <v>1</v>
      </c>
      <c r="L565" t="s">
        <v>27</v>
      </c>
      <c r="M565" t="s">
        <v>15</v>
      </c>
      <c r="N565">
        <f t="shared" si="48"/>
        <v>5800</v>
      </c>
      <c r="O565" t="str">
        <f t="shared" si="49"/>
        <v>Medium</v>
      </c>
      <c r="P565" s="4">
        <f t="shared" si="50"/>
        <v>2.2758620689655173E-2</v>
      </c>
      <c r="Q565" t="str">
        <f t="shared" si="51"/>
        <v>Medium</v>
      </c>
      <c r="R565" s="19">
        <f t="shared" si="52"/>
        <v>1</v>
      </c>
      <c r="S565" t="str">
        <f t="shared" si="53"/>
        <v>3</v>
      </c>
    </row>
    <row r="566" spans="1:19" x14ac:dyDescent="0.25">
      <c r="A566" t="s">
        <v>585</v>
      </c>
      <c r="B566" t="s">
        <v>11</v>
      </c>
      <c r="C566" t="s">
        <v>17</v>
      </c>
      <c r="D566">
        <v>2</v>
      </c>
      <c r="E566" t="s">
        <v>13</v>
      </c>
      <c r="F566" t="s">
        <v>12</v>
      </c>
      <c r="G566" s="3">
        <v>8799</v>
      </c>
      <c r="H566" s="3">
        <v>0</v>
      </c>
      <c r="I566" s="3">
        <v>258</v>
      </c>
      <c r="J566">
        <v>360</v>
      </c>
      <c r="K566">
        <v>0</v>
      </c>
      <c r="L566" t="s">
        <v>14</v>
      </c>
      <c r="M566" t="s">
        <v>19</v>
      </c>
      <c r="N566">
        <f t="shared" si="48"/>
        <v>8799</v>
      </c>
      <c r="O566" t="str">
        <f t="shared" si="49"/>
        <v>High</v>
      </c>
      <c r="P566" s="4">
        <f t="shared" si="50"/>
        <v>2.9321513808387316E-2</v>
      </c>
      <c r="Q566" t="str">
        <f t="shared" si="51"/>
        <v>Large</v>
      </c>
      <c r="R566" s="19">
        <f t="shared" si="52"/>
        <v>0</v>
      </c>
      <c r="S566" t="str">
        <f t="shared" si="53"/>
        <v>1</v>
      </c>
    </row>
    <row r="567" spans="1:19" x14ac:dyDescent="0.25">
      <c r="A567" t="s">
        <v>586</v>
      </c>
      <c r="B567" t="s">
        <v>11</v>
      </c>
      <c r="C567" t="s">
        <v>17</v>
      </c>
      <c r="D567">
        <v>0</v>
      </c>
      <c r="E567" t="s">
        <v>22</v>
      </c>
      <c r="F567" t="s">
        <v>12</v>
      </c>
      <c r="G567" s="3">
        <v>4467</v>
      </c>
      <c r="H567" s="3">
        <v>0</v>
      </c>
      <c r="I567" s="3">
        <v>120</v>
      </c>
      <c r="J567">
        <v>360</v>
      </c>
      <c r="K567">
        <v>1</v>
      </c>
      <c r="L567" t="s">
        <v>18</v>
      </c>
      <c r="M567" t="s">
        <v>15</v>
      </c>
      <c r="N567">
        <f t="shared" si="48"/>
        <v>4467</v>
      </c>
      <c r="O567" t="str">
        <f t="shared" si="49"/>
        <v>Medium</v>
      </c>
      <c r="P567" s="4">
        <f t="shared" si="50"/>
        <v>2.6863666890530557E-2</v>
      </c>
      <c r="Q567" t="str">
        <f t="shared" si="51"/>
        <v>Medium</v>
      </c>
      <c r="R567" s="19">
        <f t="shared" si="52"/>
        <v>1</v>
      </c>
      <c r="S567" t="str">
        <f t="shared" si="53"/>
        <v>2</v>
      </c>
    </row>
    <row r="568" spans="1:19" x14ac:dyDescent="0.25">
      <c r="A568" t="s">
        <v>587</v>
      </c>
      <c r="B568" t="s">
        <v>11</v>
      </c>
      <c r="C568" t="s">
        <v>12</v>
      </c>
      <c r="D568">
        <v>0</v>
      </c>
      <c r="E568" t="s">
        <v>13</v>
      </c>
      <c r="F568" t="s">
        <v>12</v>
      </c>
      <c r="G568" s="3">
        <v>3333</v>
      </c>
      <c r="H568" s="3">
        <v>0</v>
      </c>
      <c r="I568" s="3">
        <v>70</v>
      </c>
      <c r="J568">
        <v>360</v>
      </c>
      <c r="K568">
        <v>1</v>
      </c>
      <c r="L568" t="s">
        <v>14</v>
      </c>
      <c r="M568" t="s">
        <v>15</v>
      </c>
      <c r="N568">
        <f t="shared" si="48"/>
        <v>3333</v>
      </c>
      <c r="O568" t="str">
        <f t="shared" si="49"/>
        <v>Low</v>
      </c>
      <c r="P568" s="4">
        <f t="shared" si="50"/>
        <v>2.1002100210021003E-2</v>
      </c>
      <c r="Q568" t="str">
        <f t="shared" si="51"/>
        <v>Small</v>
      </c>
      <c r="R568" s="19">
        <f t="shared" si="52"/>
        <v>1</v>
      </c>
      <c r="S568" t="str">
        <f t="shared" si="53"/>
        <v>1</v>
      </c>
    </row>
    <row r="569" spans="1:19" x14ac:dyDescent="0.25">
      <c r="A569" t="s">
        <v>588</v>
      </c>
      <c r="B569" t="s">
        <v>11</v>
      </c>
      <c r="C569" t="s">
        <v>17</v>
      </c>
      <c r="D569">
        <v>3</v>
      </c>
      <c r="E569" t="s">
        <v>13</v>
      </c>
      <c r="F569" t="s">
        <v>12</v>
      </c>
      <c r="G569" s="3">
        <v>3400</v>
      </c>
      <c r="H569" s="3">
        <v>2500</v>
      </c>
      <c r="I569" s="3">
        <v>123</v>
      </c>
      <c r="J569">
        <v>360</v>
      </c>
      <c r="K569">
        <v>0</v>
      </c>
      <c r="L569" t="s">
        <v>18</v>
      </c>
      <c r="M569" t="s">
        <v>19</v>
      </c>
      <c r="N569">
        <f t="shared" si="48"/>
        <v>5900</v>
      </c>
      <c r="O569" t="str">
        <f t="shared" si="49"/>
        <v>Medium</v>
      </c>
      <c r="P569" s="4">
        <f t="shared" si="50"/>
        <v>2.0847457627118645E-2</v>
      </c>
      <c r="Q569" t="str">
        <f t="shared" si="51"/>
        <v>Medium</v>
      </c>
      <c r="R569" s="19">
        <f t="shared" si="52"/>
        <v>0</v>
      </c>
      <c r="S569" t="str">
        <f t="shared" si="53"/>
        <v>2</v>
      </c>
    </row>
    <row r="570" spans="1:19" x14ac:dyDescent="0.25">
      <c r="A570" t="s">
        <v>589</v>
      </c>
      <c r="B570" t="s">
        <v>38</v>
      </c>
      <c r="C570" t="s">
        <v>12</v>
      </c>
      <c r="D570">
        <v>0</v>
      </c>
      <c r="E570" t="s">
        <v>13</v>
      </c>
      <c r="F570" t="s">
        <v>12</v>
      </c>
      <c r="G570" s="3">
        <v>2378</v>
      </c>
      <c r="H570" s="3">
        <v>0</v>
      </c>
      <c r="I570" s="3">
        <v>9</v>
      </c>
      <c r="J570">
        <v>360</v>
      </c>
      <c r="K570">
        <v>1</v>
      </c>
      <c r="L570" t="s">
        <v>14</v>
      </c>
      <c r="M570" t="s">
        <v>19</v>
      </c>
      <c r="N570">
        <f t="shared" si="48"/>
        <v>2378</v>
      </c>
      <c r="O570" t="str">
        <f t="shared" si="49"/>
        <v>Low</v>
      </c>
      <c r="P570" s="4">
        <f t="shared" si="50"/>
        <v>3.7846930193439865E-3</v>
      </c>
      <c r="Q570" t="str">
        <f t="shared" si="51"/>
        <v>Small</v>
      </c>
      <c r="R570" s="19">
        <f t="shared" si="52"/>
        <v>0</v>
      </c>
      <c r="S570" t="str">
        <f t="shared" si="53"/>
        <v>1</v>
      </c>
    </row>
    <row r="571" spans="1:19" x14ac:dyDescent="0.25">
      <c r="A571" t="s">
        <v>590</v>
      </c>
      <c r="B571" t="s">
        <v>11</v>
      </c>
      <c r="C571" t="s">
        <v>17</v>
      </c>
      <c r="D571">
        <v>0</v>
      </c>
      <c r="E571" t="s">
        <v>13</v>
      </c>
      <c r="F571" t="s">
        <v>12</v>
      </c>
      <c r="G571" s="3">
        <v>3166</v>
      </c>
      <c r="H571" s="3">
        <v>2064</v>
      </c>
      <c r="I571" s="3">
        <v>104</v>
      </c>
      <c r="J571">
        <v>360</v>
      </c>
      <c r="K571">
        <v>0</v>
      </c>
      <c r="L571" t="s">
        <v>14</v>
      </c>
      <c r="M571" t="s">
        <v>19</v>
      </c>
      <c r="N571">
        <f t="shared" si="48"/>
        <v>5230</v>
      </c>
      <c r="O571" t="str">
        <f t="shared" si="49"/>
        <v>Medium</v>
      </c>
      <c r="P571" s="4">
        <f t="shared" si="50"/>
        <v>1.9885277246653919E-2</v>
      </c>
      <c r="Q571" t="str">
        <f t="shared" si="51"/>
        <v>Medium</v>
      </c>
      <c r="R571" s="19">
        <f t="shared" si="52"/>
        <v>0</v>
      </c>
      <c r="S571" t="str">
        <f t="shared" si="53"/>
        <v>1</v>
      </c>
    </row>
    <row r="572" spans="1:19" x14ac:dyDescent="0.25">
      <c r="A572" t="s">
        <v>591</v>
      </c>
      <c r="B572" t="s">
        <v>11</v>
      </c>
      <c r="C572" t="s">
        <v>17</v>
      </c>
      <c r="D572">
        <v>1</v>
      </c>
      <c r="E572" t="s">
        <v>13</v>
      </c>
      <c r="F572" t="s">
        <v>12</v>
      </c>
      <c r="G572" s="3">
        <v>3417</v>
      </c>
      <c r="H572" s="3">
        <v>1750</v>
      </c>
      <c r="I572" s="3">
        <v>186</v>
      </c>
      <c r="J572">
        <v>360</v>
      </c>
      <c r="K572">
        <v>1</v>
      </c>
      <c r="L572" t="s">
        <v>14</v>
      </c>
      <c r="M572" t="s">
        <v>15</v>
      </c>
      <c r="N572">
        <f t="shared" si="48"/>
        <v>5167</v>
      </c>
      <c r="O572" t="str">
        <f t="shared" si="49"/>
        <v>Medium</v>
      </c>
      <c r="P572" s="4">
        <f t="shared" si="50"/>
        <v>3.5997677569189084E-2</v>
      </c>
      <c r="Q572" t="str">
        <f t="shared" si="51"/>
        <v>Medium</v>
      </c>
      <c r="R572" s="19">
        <f t="shared" si="52"/>
        <v>1</v>
      </c>
      <c r="S572" t="str">
        <f t="shared" si="53"/>
        <v>1</v>
      </c>
    </row>
    <row r="573" spans="1:19" x14ac:dyDescent="0.25">
      <c r="A573" t="s">
        <v>592</v>
      </c>
      <c r="B573" t="s">
        <v>11</v>
      </c>
      <c r="C573" t="s">
        <v>17</v>
      </c>
      <c r="D573">
        <v>0</v>
      </c>
      <c r="E573" t="s">
        <v>13</v>
      </c>
      <c r="F573" t="s">
        <v>12</v>
      </c>
      <c r="G573" s="3">
        <v>5116</v>
      </c>
      <c r="H573" s="3">
        <v>1451</v>
      </c>
      <c r="I573" s="3">
        <v>165</v>
      </c>
      <c r="J573">
        <v>360</v>
      </c>
      <c r="K573">
        <v>0</v>
      </c>
      <c r="L573" t="s">
        <v>14</v>
      </c>
      <c r="M573" t="s">
        <v>19</v>
      </c>
      <c r="N573">
        <f t="shared" si="48"/>
        <v>6567</v>
      </c>
      <c r="O573" t="str">
        <f t="shared" si="49"/>
        <v>Medium</v>
      </c>
      <c r="P573" s="4">
        <f t="shared" si="50"/>
        <v>2.5125628140703519E-2</v>
      </c>
      <c r="Q573" t="str">
        <f t="shared" si="51"/>
        <v>Medium</v>
      </c>
      <c r="R573" s="19">
        <f t="shared" si="52"/>
        <v>0</v>
      </c>
      <c r="S573" t="str">
        <f t="shared" si="53"/>
        <v>1</v>
      </c>
    </row>
    <row r="574" spans="1:19" x14ac:dyDescent="0.25">
      <c r="A574" t="s">
        <v>593</v>
      </c>
      <c r="B574" t="s">
        <v>11</v>
      </c>
      <c r="C574" t="s">
        <v>17</v>
      </c>
      <c r="D574">
        <v>2</v>
      </c>
      <c r="E574" t="s">
        <v>13</v>
      </c>
      <c r="F574" t="s">
        <v>12</v>
      </c>
      <c r="G574" s="3">
        <v>16666</v>
      </c>
      <c r="H574" s="3">
        <v>0</v>
      </c>
      <c r="I574" s="3">
        <v>275</v>
      </c>
      <c r="J574">
        <v>360</v>
      </c>
      <c r="K574">
        <v>1</v>
      </c>
      <c r="L574" t="s">
        <v>14</v>
      </c>
      <c r="M574" t="s">
        <v>15</v>
      </c>
      <c r="N574">
        <f t="shared" si="48"/>
        <v>16666</v>
      </c>
      <c r="O574" t="str">
        <f t="shared" si="49"/>
        <v>High</v>
      </c>
      <c r="P574" s="4">
        <f t="shared" si="50"/>
        <v>1.6500660026401055E-2</v>
      </c>
      <c r="Q574" t="str">
        <f t="shared" si="51"/>
        <v>Large</v>
      </c>
      <c r="R574" s="19">
        <f t="shared" si="52"/>
        <v>1</v>
      </c>
      <c r="S574" t="str">
        <f t="shared" si="53"/>
        <v>1</v>
      </c>
    </row>
    <row r="575" spans="1:19" x14ac:dyDescent="0.25">
      <c r="A575" t="s">
        <v>594</v>
      </c>
      <c r="B575" t="s">
        <v>11</v>
      </c>
      <c r="C575" t="s">
        <v>17</v>
      </c>
      <c r="D575">
        <v>2</v>
      </c>
      <c r="E575" t="s">
        <v>22</v>
      </c>
      <c r="F575" t="s">
        <v>12</v>
      </c>
      <c r="G575" s="3">
        <v>6125</v>
      </c>
      <c r="H575" s="3">
        <v>1625</v>
      </c>
      <c r="I575" s="3">
        <v>187</v>
      </c>
      <c r="J575">
        <v>480</v>
      </c>
      <c r="K575">
        <v>1</v>
      </c>
      <c r="L575" t="s">
        <v>27</v>
      </c>
      <c r="M575" t="s">
        <v>19</v>
      </c>
      <c r="N575">
        <f t="shared" si="48"/>
        <v>7750</v>
      </c>
      <c r="O575" t="str">
        <f t="shared" si="49"/>
        <v>Medium</v>
      </c>
      <c r="P575" s="4">
        <f t="shared" si="50"/>
        <v>2.4129032258064516E-2</v>
      </c>
      <c r="Q575" t="str">
        <f t="shared" si="51"/>
        <v>Medium</v>
      </c>
      <c r="R575" s="19">
        <f t="shared" si="52"/>
        <v>0</v>
      </c>
      <c r="S575" t="str">
        <f t="shared" si="53"/>
        <v>3</v>
      </c>
    </row>
    <row r="576" spans="1:19" x14ac:dyDescent="0.25">
      <c r="A576" t="s">
        <v>595</v>
      </c>
      <c r="B576" t="s">
        <v>11</v>
      </c>
      <c r="C576" t="s">
        <v>17</v>
      </c>
      <c r="D576">
        <v>3</v>
      </c>
      <c r="E576" t="s">
        <v>13</v>
      </c>
      <c r="F576" t="s">
        <v>12</v>
      </c>
      <c r="G576" s="3">
        <v>6406</v>
      </c>
      <c r="H576" s="3">
        <v>0</v>
      </c>
      <c r="I576" s="3">
        <v>150</v>
      </c>
      <c r="J576">
        <v>360</v>
      </c>
      <c r="K576">
        <v>1</v>
      </c>
      <c r="L576" t="s">
        <v>27</v>
      </c>
      <c r="M576" t="s">
        <v>19</v>
      </c>
      <c r="N576">
        <f t="shared" si="48"/>
        <v>6406</v>
      </c>
      <c r="O576" t="str">
        <f t="shared" si="49"/>
        <v>Medium</v>
      </c>
      <c r="P576" s="4">
        <f t="shared" si="50"/>
        <v>2.3415547923821417E-2</v>
      </c>
      <c r="Q576" t="str">
        <f t="shared" si="51"/>
        <v>Medium</v>
      </c>
      <c r="R576" s="19">
        <f t="shared" si="52"/>
        <v>0</v>
      </c>
      <c r="S576" t="str">
        <f t="shared" si="53"/>
        <v>3</v>
      </c>
    </row>
    <row r="577" spans="1:19" x14ac:dyDescent="0.25">
      <c r="A577" t="s">
        <v>596</v>
      </c>
      <c r="B577" t="s">
        <v>11</v>
      </c>
      <c r="C577" t="s">
        <v>17</v>
      </c>
      <c r="D577">
        <v>2</v>
      </c>
      <c r="E577" t="s">
        <v>13</v>
      </c>
      <c r="F577" t="s">
        <v>12</v>
      </c>
      <c r="G577" s="3">
        <v>3159</v>
      </c>
      <c r="H577" s="3">
        <v>461</v>
      </c>
      <c r="I577" s="3">
        <v>108</v>
      </c>
      <c r="J577">
        <v>84</v>
      </c>
      <c r="K577">
        <v>1</v>
      </c>
      <c r="L577" t="s">
        <v>14</v>
      </c>
      <c r="M577" t="s">
        <v>15</v>
      </c>
      <c r="N577">
        <f t="shared" si="48"/>
        <v>3620</v>
      </c>
      <c r="O577" t="str">
        <f t="shared" si="49"/>
        <v>Low</v>
      </c>
      <c r="P577" s="4">
        <f t="shared" si="50"/>
        <v>2.9834254143646408E-2</v>
      </c>
      <c r="Q577" t="str">
        <f t="shared" si="51"/>
        <v>Medium</v>
      </c>
      <c r="R577" s="19">
        <f t="shared" si="52"/>
        <v>1</v>
      </c>
      <c r="S577" t="str">
        <f t="shared" si="53"/>
        <v>1</v>
      </c>
    </row>
    <row r="578" spans="1:19" x14ac:dyDescent="0.25">
      <c r="A578" t="s">
        <v>597</v>
      </c>
      <c r="B578" t="s">
        <v>11</v>
      </c>
      <c r="C578" t="s">
        <v>17</v>
      </c>
      <c r="D578">
        <v>0</v>
      </c>
      <c r="E578" t="s">
        <v>13</v>
      </c>
      <c r="F578" t="s">
        <v>12</v>
      </c>
      <c r="G578" s="3">
        <v>3087</v>
      </c>
      <c r="H578" s="3">
        <v>2210</v>
      </c>
      <c r="I578" s="3">
        <v>136</v>
      </c>
      <c r="J578">
        <v>360</v>
      </c>
      <c r="K578">
        <v>0</v>
      </c>
      <c r="L578" t="s">
        <v>27</v>
      </c>
      <c r="M578" t="s">
        <v>19</v>
      </c>
      <c r="N578">
        <f t="shared" si="48"/>
        <v>5297</v>
      </c>
      <c r="O578" t="str">
        <f t="shared" si="49"/>
        <v>Medium</v>
      </c>
      <c r="P578" s="4">
        <f t="shared" si="50"/>
        <v>2.5674910326599961E-2</v>
      </c>
      <c r="Q578" t="str">
        <f t="shared" si="51"/>
        <v>Medium</v>
      </c>
      <c r="R578" s="19">
        <f t="shared" si="52"/>
        <v>0</v>
      </c>
      <c r="S578" t="str">
        <f t="shared" si="53"/>
        <v>3</v>
      </c>
    </row>
    <row r="579" spans="1:19" x14ac:dyDescent="0.25">
      <c r="A579" t="s">
        <v>598</v>
      </c>
      <c r="B579" t="s">
        <v>11</v>
      </c>
      <c r="C579" t="s">
        <v>12</v>
      </c>
      <c r="D579">
        <v>0</v>
      </c>
      <c r="E579" t="s">
        <v>13</v>
      </c>
      <c r="F579" t="s">
        <v>12</v>
      </c>
      <c r="G579" s="3">
        <v>3229</v>
      </c>
      <c r="H579" s="3">
        <v>2739</v>
      </c>
      <c r="I579" s="3">
        <v>110</v>
      </c>
      <c r="J579">
        <v>360</v>
      </c>
      <c r="K579">
        <v>1</v>
      </c>
      <c r="L579" t="s">
        <v>14</v>
      </c>
      <c r="M579" t="s">
        <v>15</v>
      </c>
      <c r="N579">
        <f t="shared" ref="N579:N615" si="54">G579+H579</f>
        <v>5968</v>
      </c>
      <c r="O579" t="str">
        <f t="shared" ref="O579:O615" si="55">IF(N579&lt;4000,"Low", IF(N579&lt;8000, "Medium", "High"))</f>
        <v>Medium</v>
      </c>
      <c r="P579" s="4">
        <f t="shared" ref="P579:P615" si="56">I579/N579</f>
        <v>1.8431635388739945E-2</v>
      </c>
      <c r="Q579" t="str">
        <f t="shared" ref="Q579:Q615" si="57">IF(I579&lt;100, "Small", IF(I579&lt;200, "Medium", "Large"))</f>
        <v>Medium</v>
      </c>
      <c r="R579" s="19">
        <f t="shared" ref="R579:R615" si="58">IF(M579="Y", 1*1, 1*0)</f>
        <v>1</v>
      </c>
      <c r="S579" t="str">
        <f t="shared" ref="S579:S615" si="59">IF(L579="Urban","1", IF(L579="Rural", "2", IF(L579="Semiurban","3")))</f>
        <v>1</v>
      </c>
    </row>
    <row r="580" spans="1:19" x14ac:dyDescent="0.25">
      <c r="A580" t="s">
        <v>599</v>
      </c>
      <c r="B580" t="s">
        <v>11</v>
      </c>
      <c r="C580" t="s">
        <v>17</v>
      </c>
      <c r="D580">
        <v>1</v>
      </c>
      <c r="E580" t="s">
        <v>13</v>
      </c>
      <c r="F580" t="s">
        <v>12</v>
      </c>
      <c r="G580" s="3">
        <v>1782</v>
      </c>
      <c r="H580" s="3">
        <v>2232</v>
      </c>
      <c r="I580" s="3">
        <v>107</v>
      </c>
      <c r="J580">
        <v>360</v>
      </c>
      <c r="K580">
        <v>1</v>
      </c>
      <c r="L580" t="s">
        <v>18</v>
      </c>
      <c r="M580" t="s">
        <v>15</v>
      </c>
      <c r="N580">
        <f t="shared" si="54"/>
        <v>4014</v>
      </c>
      <c r="O580" t="str">
        <f t="shared" si="55"/>
        <v>Medium</v>
      </c>
      <c r="P580" s="4">
        <f t="shared" si="56"/>
        <v>2.665670154459392E-2</v>
      </c>
      <c r="Q580" t="str">
        <f t="shared" si="57"/>
        <v>Medium</v>
      </c>
      <c r="R580" s="19">
        <f t="shared" si="58"/>
        <v>1</v>
      </c>
      <c r="S580" t="str">
        <f t="shared" si="59"/>
        <v>2</v>
      </c>
    </row>
    <row r="581" spans="1:19" x14ac:dyDescent="0.25">
      <c r="A581" t="s">
        <v>600</v>
      </c>
      <c r="B581" t="s">
        <v>11</v>
      </c>
      <c r="C581" t="s">
        <v>12</v>
      </c>
      <c r="D581">
        <v>0</v>
      </c>
      <c r="E581" t="s">
        <v>13</v>
      </c>
      <c r="F581" t="s">
        <v>12</v>
      </c>
      <c r="G581" s="3">
        <v>3182</v>
      </c>
      <c r="H581" s="3">
        <v>2917</v>
      </c>
      <c r="I581" s="3">
        <v>161</v>
      </c>
      <c r="J581">
        <v>360</v>
      </c>
      <c r="K581">
        <v>1</v>
      </c>
      <c r="L581" t="s">
        <v>14</v>
      </c>
      <c r="M581" t="s">
        <v>15</v>
      </c>
      <c r="N581">
        <f t="shared" si="54"/>
        <v>6099</v>
      </c>
      <c r="O581" t="str">
        <f t="shared" si="55"/>
        <v>Medium</v>
      </c>
      <c r="P581" s="4">
        <f t="shared" si="56"/>
        <v>2.6397770126250206E-2</v>
      </c>
      <c r="Q581" t="str">
        <f t="shared" si="57"/>
        <v>Medium</v>
      </c>
      <c r="R581" s="19">
        <f t="shared" si="58"/>
        <v>1</v>
      </c>
      <c r="S581" t="str">
        <f t="shared" si="59"/>
        <v>1</v>
      </c>
    </row>
    <row r="582" spans="1:19" x14ac:dyDescent="0.25">
      <c r="A582" t="s">
        <v>601</v>
      </c>
      <c r="B582" t="s">
        <v>11</v>
      </c>
      <c r="C582" t="s">
        <v>17</v>
      </c>
      <c r="D582">
        <v>2</v>
      </c>
      <c r="E582" t="s">
        <v>13</v>
      </c>
      <c r="F582" t="s">
        <v>12</v>
      </c>
      <c r="G582" s="3">
        <v>6540</v>
      </c>
      <c r="H582" s="3">
        <v>0</v>
      </c>
      <c r="I582" s="3">
        <v>205</v>
      </c>
      <c r="J582">
        <v>360</v>
      </c>
      <c r="K582">
        <v>1</v>
      </c>
      <c r="L582" t="s">
        <v>27</v>
      </c>
      <c r="M582" t="s">
        <v>15</v>
      </c>
      <c r="N582">
        <f t="shared" si="54"/>
        <v>6540</v>
      </c>
      <c r="O582" t="str">
        <f t="shared" si="55"/>
        <v>Medium</v>
      </c>
      <c r="P582" s="4">
        <f t="shared" si="56"/>
        <v>3.1345565749235471E-2</v>
      </c>
      <c r="Q582" t="str">
        <f t="shared" si="57"/>
        <v>Large</v>
      </c>
      <c r="R582" s="19">
        <f t="shared" si="58"/>
        <v>1</v>
      </c>
      <c r="S582" t="str">
        <f t="shared" si="59"/>
        <v>3</v>
      </c>
    </row>
    <row r="583" spans="1:19" x14ac:dyDescent="0.25">
      <c r="A583" t="s">
        <v>602</v>
      </c>
      <c r="B583" t="s">
        <v>11</v>
      </c>
      <c r="C583" t="s">
        <v>12</v>
      </c>
      <c r="D583">
        <v>0</v>
      </c>
      <c r="E583" t="s">
        <v>13</v>
      </c>
      <c r="F583" t="s">
        <v>12</v>
      </c>
      <c r="G583" s="3">
        <v>1836</v>
      </c>
      <c r="H583" s="3">
        <v>33837</v>
      </c>
      <c r="I583" s="3">
        <v>90</v>
      </c>
      <c r="J583">
        <v>360</v>
      </c>
      <c r="K583">
        <v>1</v>
      </c>
      <c r="L583" t="s">
        <v>14</v>
      </c>
      <c r="M583" t="s">
        <v>19</v>
      </c>
      <c r="N583">
        <f t="shared" si="54"/>
        <v>35673</v>
      </c>
      <c r="O583" t="str">
        <f t="shared" si="55"/>
        <v>High</v>
      </c>
      <c r="P583" s="4">
        <f t="shared" si="56"/>
        <v>2.5229164914641325E-3</v>
      </c>
      <c r="Q583" t="str">
        <f t="shared" si="57"/>
        <v>Small</v>
      </c>
      <c r="R583" s="19">
        <f t="shared" si="58"/>
        <v>0</v>
      </c>
      <c r="S583" t="str">
        <f t="shared" si="59"/>
        <v>1</v>
      </c>
    </row>
    <row r="584" spans="1:19" x14ac:dyDescent="0.25">
      <c r="A584" t="s">
        <v>603</v>
      </c>
      <c r="B584" t="s">
        <v>38</v>
      </c>
      <c r="C584" t="s">
        <v>17</v>
      </c>
      <c r="D584">
        <v>0</v>
      </c>
      <c r="E584" t="s">
        <v>13</v>
      </c>
      <c r="F584" t="s">
        <v>12</v>
      </c>
      <c r="G584" s="3">
        <v>3166</v>
      </c>
      <c r="H584" s="3">
        <v>0</v>
      </c>
      <c r="I584" s="3">
        <v>36</v>
      </c>
      <c r="J584">
        <v>360</v>
      </c>
      <c r="K584">
        <v>1</v>
      </c>
      <c r="L584" t="s">
        <v>27</v>
      </c>
      <c r="M584" t="s">
        <v>15</v>
      </c>
      <c r="N584">
        <f t="shared" si="54"/>
        <v>3166</v>
      </c>
      <c r="O584" t="str">
        <f t="shared" si="55"/>
        <v>Low</v>
      </c>
      <c r="P584" s="4">
        <f t="shared" si="56"/>
        <v>1.1370814908401769E-2</v>
      </c>
      <c r="Q584" t="str">
        <f t="shared" si="57"/>
        <v>Small</v>
      </c>
      <c r="R584" s="19">
        <f t="shared" si="58"/>
        <v>1</v>
      </c>
      <c r="S584" t="str">
        <f t="shared" si="59"/>
        <v>3</v>
      </c>
    </row>
    <row r="585" spans="1:19" x14ac:dyDescent="0.25">
      <c r="A585" t="s">
        <v>604</v>
      </c>
      <c r="B585" t="s">
        <v>11</v>
      </c>
      <c r="C585" t="s">
        <v>17</v>
      </c>
      <c r="D585">
        <v>1</v>
      </c>
      <c r="E585" t="s">
        <v>13</v>
      </c>
      <c r="F585" t="s">
        <v>12</v>
      </c>
      <c r="G585" s="3">
        <v>1880</v>
      </c>
      <c r="H585" s="3">
        <v>0</v>
      </c>
      <c r="I585" s="3">
        <v>61</v>
      </c>
      <c r="J585">
        <v>360</v>
      </c>
      <c r="K585">
        <v>1</v>
      </c>
      <c r="L585" t="s">
        <v>18</v>
      </c>
      <c r="M585" t="s">
        <v>19</v>
      </c>
      <c r="N585">
        <f t="shared" si="54"/>
        <v>1880</v>
      </c>
      <c r="O585" t="str">
        <f t="shared" si="55"/>
        <v>Low</v>
      </c>
      <c r="P585" s="4">
        <f t="shared" si="56"/>
        <v>3.2446808510638296E-2</v>
      </c>
      <c r="Q585" t="str">
        <f t="shared" si="57"/>
        <v>Small</v>
      </c>
      <c r="R585" s="19">
        <f t="shared" si="58"/>
        <v>0</v>
      </c>
      <c r="S585" t="str">
        <f t="shared" si="59"/>
        <v>2</v>
      </c>
    </row>
    <row r="586" spans="1:19" x14ac:dyDescent="0.25">
      <c r="A586" t="s">
        <v>605</v>
      </c>
      <c r="B586" t="s">
        <v>11</v>
      </c>
      <c r="C586" t="s">
        <v>17</v>
      </c>
      <c r="D586">
        <v>1</v>
      </c>
      <c r="E586" t="s">
        <v>13</v>
      </c>
      <c r="F586" t="s">
        <v>12</v>
      </c>
      <c r="G586" s="3">
        <v>2787</v>
      </c>
      <c r="H586" s="3">
        <v>1917</v>
      </c>
      <c r="I586" s="3">
        <v>146</v>
      </c>
      <c r="J586">
        <v>360</v>
      </c>
      <c r="K586">
        <v>0</v>
      </c>
      <c r="L586" t="s">
        <v>18</v>
      </c>
      <c r="M586" t="s">
        <v>19</v>
      </c>
      <c r="N586">
        <f t="shared" si="54"/>
        <v>4704</v>
      </c>
      <c r="O586" t="str">
        <f t="shared" si="55"/>
        <v>Medium</v>
      </c>
      <c r="P586" s="4">
        <f t="shared" si="56"/>
        <v>3.1037414965986394E-2</v>
      </c>
      <c r="Q586" t="str">
        <f t="shared" si="57"/>
        <v>Medium</v>
      </c>
      <c r="R586" s="19">
        <f t="shared" si="58"/>
        <v>0</v>
      </c>
      <c r="S586" t="str">
        <f t="shared" si="59"/>
        <v>2</v>
      </c>
    </row>
    <row r="587" spans="1:19" x14ac:dyDescent="0.25">
      <c r="A587" t="s">
        <v>606</v>
      </c>
      <c r="B587" t="s">
        <v>11</v>
      </c>
      <c r="C587" t="s">
        <v>17</v>
      </c>
      <c r="D587">
        <v>1</v>
      </c>
      <c r="E587" t="s">
        <v>13</v>
      </c>
      <c r="F587" t="s">
        <v>12</v>
      </c>
      <c r="G587" s="3">
        <v>4283</v>
      </c>
      <c r="H587" s="3">
        <v>3000</v>
      </c>
      <c r="I587" s="3">
        <v>172</v>
      </c>
      <c r="J587">
        <v>84</v>
      </c>
      <c r="K587">
        <v>1</v>
      </c>
      <c r="L587" t="s">
        <v>18</v>
      </c>
      <c r="M587" t="s">
        <v>19</v>
      </c>
      <c r="N587">
        <f t="shared" si="54"/>
        <v>7283</v>
      </c>
      <c r="O587" t="str">
        <f t="shared" si="55"/>
        <v>Medium</v>
      </c>
      <c r="P587" s="4">
        <f t="shared" si="56"/>
        <v>2.3616641493889881E-2</v>
      </c>
      <c r="Q587" t="str">
        <f t="shared" si="57"/>
        <v>Medium</v>
      </c>
      <c r="R587" s="19">
        <f t="shared" si="58"/>
        <v>0</v>
      </c>
      <c r="S587" t="str">
        <f t="shared" si="59"/>
        <v>2</v>
      </c>
    </row>
    <row r="588" spans="1:19" x14ac:dyDescent="0.25">
      <c r="A588" t="s">
        <v>607</v>
      </c>
      <c r="B588" t="s">
        <v>11</v>
      </c>
      <c r="C588" t="s">
        <v>17</v>
      </c>
      <c r="D588">
        <v>0</v>
      </c>
      <c r="E588" t="s">
        <v>13</v>
      </c>
      <c r="F588" t="s">
        <v>12</v>
      </c>
      <c r="G588" s="3">
        <v>2297</v>
      </c>
      <c r="H588" s="3">
        <v>1522</v>
      </c>
      <c r="I588" s="3">
        <v>104</v>
      </c>
      <c r="J588">
        <v>360</v>
      </c>
      <c r="K588">
        <v>1</v>
      </c>
      <c r="L588" t="s">
        <v>14</v>
      </c>
      <c r="M588" t="s">
        <v>15</v>
      </c>
      <c r="N588">
        <f t="shared" si="54"/>
        <v>3819</v>
      </c>
      <c r="O588" t="str">
        <f t="shared" si="55"/>
        <v>Low</v>
      </c>
      <c r="P588" s="4">
        <f t="shared" si="56"/>
        <v>2.7232259753862266E-2</v>
      </c>
      <c r="Q588" t="str">
        <f t="shared" si="57"/>
        <v>Medium</v>
      </c>
      <c r="R588" s="19">
        <f t="shared" si="58"/>
        <v>1</v>
      </c>
      <c r="S588" t="str">
        <f t="shared" si="59"/>
        <v>1</v>
      </c>
    </row>
    <row r="589" spans="1:19" x14ac:dyDescent="0.25">
      <c r="A589" t="s">
        <v>608</v>
      </c>
      <c r="B589" t="s">
        <v>38</v>
      </c>
      <c r="C589" t="s">
        <v>12</v>
      </c>
      <c r="D589">
        <v>0</v>
      </c>
      <c r="E589" t="s">
        <v>22</v>
      </c>
      <c r="F589" t="s">
        <v>12</v>
      </c>
      <c r="G589" s="3">
        <v>2165</v>
      </c>
      <c r="H589" s="3">
        <v>0</v>
      </c>
      <c r="I589" s="3">
        <v>70</v>
      </c>
      <c r="J589">
        <v>360</v>
      </c>
      <c r="K589">
        <v>1</v>
      </c>
      <c r="L589" t="s">
        <v>27</v>
      </c>
      <c r="M589" t="s">
        <v>15</v>
      </c>
      <c r="N589">
        <f t="shared" si="54"/>
        <v>2165</v>
      </c>
      <c r="O589" t="str">
        <f t="shared" si="55"/>
        <v>Low</v>
      </c>
      <c r="P589" s="4">
        <f t="shared" si="56"/>
        <v>3.2332563510392612E-2</v>
      </c>
      <c r="Q589" t="str">
        <f t="shared" si="57"/>
        <v>Small</v>
      </c>
      <c r="R589" s="19">
        <f t="shared" si="58"/>
        <v>1</v>
      </c>
      <c r="S589" t="str">
        <f t="shared" si="59"/>
        <v>3</v>
      </c>
    </row>
    <row r="590" spans="1:19" x14ac:dyDescent="0.25">
      <c r="A590" t="s">
        <v>609</v>
      </c>
      <c r="B590" t="s">
        <v>38</v>
      </c>
      <c r="C590" t="s">
        <v>12</v>
      </c>
      <c r="D590">
        <v>0</v>
      </c>
      <c r="E590" t="s">
        <v>13</v>
      </c>
      <c r="F590" t="s">
        <v>12</v>
      </c>
      <c r="G590" s="3">
        <v>4750</v>
      </c>
      <c r="H590" s="3">
        <v>0</v>
      </c>
      <c r="I590" s="3">
        <v>94</v>
      </c>
      <c r="J590">
        <v>360</v>
      </c>
      <c r="K590">
        <v>1</v>
      </c>
      <c r="L590" t="s">
        <v>27</v>
      </c>
      <c r="M590" t="s">
        <v>15</v>
      </c>
      <c r="N590">
        <f t="shared" si="54"/>
        <v>4750</v>
      </c>
      <c r="O590" t="str">
        <f t="shared" si="55"/>
        <v>Medium</v>
      </c>
      <c r="P590" s="4">
        <f t="shared" si="56"/>
        <v>1.9789473684210527E-2</v>
      </c>
      <c r="Q590" t="str">
        <f t="shared" si="57"/>
        <v>Small</v>
      </c>
      <c r="R590" s="19">
        <f t="shared" si="58"/>
        <v>1</v>
      </c>
      <c r="S590" t="str">
        <f t="shared" si="59"/>
        <v>3</v>
      </c>
    </row>
    <row r="591" spans="1:19" x14ac:dyDescent="0.25">
      <c r="A591" t="s">
        <v>610</v>
      </c>
      <c r="B591" t="s">
        <v>11</v>
      </c>
      <c r="C591" t="s">
        <v>17</v>
      </c>
      <c r="D591">
        <v>2</v>
      </c>
      <c r="E591" t="s">
        <v>13</v>
      </c>
      <c r="F591" t="s">
        <v>17</v>
      </c>
      <c r="G591" s="3">
        <v>2726</v>
      </c>
      <c r="H591" s="3">
        <v>0</v>
      </c>
      <c r="I591" s="3">
        <v>106</v>
      </c>
      <c r="J591">
        <v>360</v>
      </c>
      <c r="K591">
        <v>0</v>
      </c>
      <c r="L591" t="s">
        <v>27</v>
      </c>
      <c r="M591" t="s">
        <v>19</v>
      </c>
      <c r="N591">
        <f t="shared" si="54"/>
        <v>2726</v>
      </c>
      <c r="O591" t="str">
        <f t="shared" si="55"/>
        <v>Low</v>
      </c>
      <c r="P591" s="4">
        <f t="shared" si="56"/>
        <v>3.8884812912692593E-2</v>
      </c>
      <c r="Q591" t="str">
        <f t="shared" si="57"/>
        <v>Medium</v>
      </c>
      <c r="R591" s="19">
        <f t="shared" si="58"/>
        <v>0</v>
      </c>
      <c r="S591" t="str">
        <f t="shared" si="59"/>
        <v>3</v>
      </c>
    </row>
    <row r="592" spans="1:19" x14ac:dyDescent="0.25">
      <c r="A592" t="s">
        <v>611</v>
      </c>
      <c r="B592" t="s">
        <v>11</v>
      </c>
      <c r="C592" t="s">
        <v>17</v>
      </c>
      <c r="D592">
        <v>0</v>
      </c>
      <c r="E592" t="s">
        <v>13</v>
      </c>
      <c r="F592" t="s">
        <v>12</v>
      </c>
      <c r="G592" s="3">
        <v>3000</v>
      </c>
      <c r="H592" s="3">
        <v>3416</v>
      </c>
      <c r="I592" s="3">
        <v>56</v>
      </c>
      <c r="J592">
        <v>180</v>
      </c>
      <c r="K592">
        <v>1</v>
      </c>
      <c r="L592" t="s">
        <v>27</v>
      </c>
      <c r="M592" t="s">
        <v>15</v>
      </c>
      <c r="N592">
        <f t="shared" si="54"/>
        <v>6416</v>
      </c>
      <c r="O592" t="str">
        <f t="shared" si="55"/>
        <v>Medium</v>
      </c>
      <c r="P592" s="4">
        <f t="shared" si="56"/>
        <v>8.7281795511221939E-3</v>
      </c>
      <c r="Q592" t="str">
        <f t="shared" si="57"/>
        <v>Small</v>
      </c>
      <c r="R592" s="19">
        <f t="shared" si="58"/>
        <v>1</v>
      </c>
      <c r="S592" t="str">
        <f t="shared" si="59"/>
        <v>3</v>
      </c>
    </row>
    <row r="593" spans="1:19" x14ac:dyDescent="0.25">
      <c r="A593" t="s">
        <v>612</v>
      </c>
      <c r="B593" t="s">
        <v>11</v>
      </c>
      <c r="C593" t="s">
        <v>17</v>
      </c>
      <c r="D593">
        <v>2</v>
      </c>
      <c r="E593" t="s">
        <v>13</v>
      </c>
      <c r="F593" t="s">
        <v>17</v>
      </c>
      <c r="G593" s="3">
        <v>6000</v>
      </c>
      <c r="H593" s="3">
        <v>0</v>
      </c>
      <c r="I593" s="3">
        <v>205</v>
      </c>
      <c r="J593">
        <v>240</v>
      </c>
      <c r="K593">
        <v>1</v>
      </c>
      <c r="L593" t="s">
        <v>27</v>
      </c>
      <c r="M593" t="s">
        <v>19</v>
      </c>
      <c r="N593">
        <f t="shared" si="54"/>
        <v>6000</v>
      </c>
      <c r="O593" t="str">
        <f t="shared" si="55"/>
        <v>Medium</v>
      </c>
      <c r="P593" s="4">
        <f t="shared" si="56"/>
        <v>3.4166666666666665E-2</v>
      </c>
      <c r="Q593" t="str">
        <f t="shared" si="57"/>
        <v>Large</v>
      </c>
      <c r="R593" s="19">
        <f t="shared" si="58"/>
        <v>0</v>
      </c>
      <c r="S593" t="str">
        <f t="shared" si="59"/>
        <v>3</v>
      </c>
    </row>
    <row r="594" spans="1:19" x14ac:dyDescent="0.25">
      <c r="A594" t="s">
        <v>613</v>
      </c>
      <c r="B594" t="s">
        <v>38</v>
      </c>
      <c r="C594" t="s">
        <v>12</v>
      </c>
      <c r="D594">
        <v>3</v>
      </c>
      <c r="E594" t="s">
        <v>13</v>
      </c>
      <c r="F594" t="s">
        <v>17</v>
      </c>
      <c r="G594" s="3">
        <v>9357</v>
      </c>
      <c r="H594" s="3">
        <v>0</v>
      </c>
      <c r="I594" s="3">
        <v>292</v>
      </c>
      <c r="J594">
        <v>360</v>
      </c>
      <c r="K594">
        <v>1</v>
      </c>
      <c r="L594" t="s">
        <v>27</v>
      </c>
      <c r="M594" t="s">
        <v>15</v>
      </c>
      <c r="N594">
        <f t="shared" si="54"/>
        <v>9357</v>
      </c>
      <c r="O594" t="str">
        <f t="shared" si="55"/>
        <v>High</v>
      </c>
      <c r="P594" s="4">
        <f t="shared" si="56"/>
        <v>3.1206583306615368E-2</v>
      </c>
      <c r="Q594" t="str">
        <f t="shared" si="57"/>
        <v>Large</v>
      </c>
      <c r="R594" s="19">
        <f t="shared" si="58"/>
        <v>1</v>
      </c>
      <c r="S594" t="str">
        <f t="shared" si="59"/>
        <v>3</v>
      </c>
    </row>
    <row r="595" spans="1:19" x14ac:dyDescent="0.25">
      <c r="A595" t="s">
        <v>614</v>
      </c>
      <c r="B595" t="s">
        <v>11</v>
      </c>
      <c r="C595" t="s">
        <v>17</v>
      </c>
      <c r="D595">
        <v>0</v>
      </c>
      <c r="E595" t="s">
        <v>13</v>
      </c>
      <c r="F595" t="s">
        <v>12</v>
      </c>
      <c r="G595" s="3">
        <v>3859</v>
      </c>
      <c r="H595" s="3">
        <v>3300</v>
      </c>
      <c r="I595" s="3">
        <v>142</v>
      </c>
      <c r="J595">
        <v>180</v>
      </c>
      <c r="K595">
        <v>1</v>
      </c>
      <c r="L595" t="s">
        <v>18</v>
      </c>
      <c r="M595" t="s">
        <v>15</v>
      </c>
      <c r="N595">
        <f t="shared" si="54"/>
        <v>7159</v>
      </c>
      <c r="O595" t="str">
        <f t="shared" si="55"/>
        <v>Medium</v>
      </c>
      <c r="P595" s="4">
        <f t="shared" si="56"/>
        <v>1.9835172510127112E-2</v>
      </c>
      <c r="Q595" t="str">
        <f t="shared" si="57"/>
        <v>Medium</v>
      </c>
      <c r="R595" s="19">
        <f t="shared" si="58"/>
        <v>1</v>
      </c>
      <c r="S595" t="str">
        <f t="shared" si="59"/>
        <v>2</v>
      </c>
    </row>
    <row r="596" spans="1:19" x14ac:dyDescent="0.25">
      <c r="A596" t="s">
        <v>615</v>
      </c>
      <c r="B596" t="s">
        <v>11</v>
      </c>
      <c r="C596" t="s">
        <v>17</v>
      </c>
      <c r="D596">
        <v>0</v>
      </c>
      <c r="E596" t="s">
        <v>13</v>
      </c>
      <c r="F596" t="s">
        <v>17</v>
      </c>
      <c r="G596" s="3">
        <v>16120</v>
      </c>
      <c r="H596" s="3">
        <v>0</v>
      </c>
      <c r="I596" s="3">
        <v>260</v>
      </c>
      <c r="J596">
        <v>360</v>
      </c>
      <c r="K596">
        <v>1</v>
      </c>
      <c r="L596" t="s">
        <v>14</v>
      </c>
      <c r="M596" t="s">
        <v>15</v>
      </c>
      <c r="N596">
        <f t="shared" si="54"/>
        <v>16120</v>
      </c>
      <c r="O596" t="str">
        <f t="shared" si="55"/>
        <v>High</v>
      </c>
      <c r="P596" s="4">
        <f t="shared" si="56"/>
        <v>1.6129032258064516E-2</v>
      </c>
      <c r="Q596" t="str">
        <f t="shared" si="57"/>
        <v>Large</v>
      </c>
      <c r="R596" s="19">
        <f t="shared" si="58"/>
        <v>1</v>
      </c>
      <c r="S596" t="str">
        <f t="shared" si="59"/>
        <v>1</v>
      </c>
    </row>
    <row r="597" spans="1:19" x14ac:dyDescent="0.25">
      <c r="A597" t="s">
        <v>616</v>
      </c>
      <c r="B597" t="s">
        <v>11</v>
      </c>
      <c r="C597" t="s">
        <v>12</v>
      </c>
      <c r="D597">
        <v>0</v>
      </c>
      <c r="E597" t="s">
        <v>22</v>
      </c>
      <c r="F597" t="s">
        <v>12</v>
      </c>
      <c r="G597" s="3">
        <v>3833</v>
      </c>
      <c r="H597" s="3">
        <v>0</v>
      </c>
      <c r="I597" s="3">
        <v>110</v>
      </c>
      <c r="J597">
        <v>360</v>
      </c>
      <c r="K597">
        <v>1</v>
      </c>
      <c r="L597" t="s">
        <v>18</v>
      </c>
      <c r="M597" t="s">
        <v>15</v>
      </c>
      <c r="N597">
        <f t="shared" si="54"/>
        <v>3833</v>
      </c>
      <c r="O597" t="str">
        <f t="shared" si="55"/>
        <v>Low</v>
      </c>
      <c r="P597" s="4">
        <f t="shared" si="56"/>
        <v>2.8698147665014349E-2</v>
      </c>
      <c r="Q597" t="str">
        <f t="shared" si="57"/>
        <v>Medium</v>
      </c>
      <c r="R597" s="19">
        <f t="shared" si="58"/>
        <v>1</v>
      </c>
      <c r="S597" t="str">
        <f t="shared" si="59"/>
        <v>2</v>
      </c>
    </row>
    <row r="598" spans="1:19" x14ac:dyDescent="0.25">
      <c r="A598" t="s">
        <v>617</v>
      </c>
      <c r="B598" t="s">
        <v>11</v>
      </c>
      <c r="C598" t="s">
        <v>17</v>
      </c>
      <c r="D598">
        <v>2</v>
      </c>
      <c r="E598" t="s">
        <v>22</v>
      </c>
      <c r="F598" t="s">
        <v>17</v>
      </c>
      <c r="G598" s="3">
        <v>6383</v>
      </c>
      <c r="H598" s="3">
        <v>1000</v>
      </c>
      <c r="I598" s="3">
        <v>187</v>
      </c>
      <c r="J598">
        <v>360</v>
      </c>
      <c r="K598">
        <v>1</v>
      </c>
      <c r="L598" t="s">
        <v>18</v>
      </c>
      <c r="M598" t="s">
        <v>19</v>
      </c>
      <c r="N598">
        <f t="shared" si="54"/>
        <v>7383</v>
      </c>
      <c r="O598" t="str">
        <f t="shared" si="55"/>
        <v>Medium</v>
      </c>
      <c r="P598" s="4">
        <f t="shared" si="56"/>
        <v>2.5328457266693756E-2</v>
      </c>
      <c r="Q598" t="str">
        <f t="shared" si="57"/>
        <v>Medium</v>
      </c>
      <c r="R598" s="19">
        <f t="shared" si="58"/>
        <v>0</v>
      </c>
      <c r="S598" t="str">
        <f t="shared" si="59"/>
        <v>2</v>
      </c>
    </row>
    <row r="599" spans="1:19" x14ac:dyDescent="0.25">
      <c r="A599" t="s">
        <v>618</v>
      </c>
      <c r="B599" t="s">
        <v>11</v>
      </c>
      <c r="C599" t="s">
        <v>12</v>
      </c>
      <c r="D599">
        <v>0</v>
      </c>
      <c r="E599" t="s">
        <v>13</v>
      </c>
      <c r="F599" t="s">
        <v>12</v>
      </c>
      <c r="G599" s="3">
        <v>2987</v>
      </c>
      <c r="H599" s="3">
        <v>0</v>
      </c>
      <c r="I599" s="3">
        <v>88</v>
      </c>
      <c r="J599">
        <v>360</v>
      </c>
      <c r="K599">
        <v>0</v>
      </c>
      <c r="L599" t="s">
        <v>27</v>
      </c>
      <c r="M599" t="s">
        <v>19</v>
      </c>
      <c r="N599">
        <f t="shared" si="54"/>
        <v>2987</v>
      </c>
      <c r="O599" t="str">
        <f t="shared" si="55"/>
        <v>Low</v>
      </c>
      <c r="P599" s="4">
        <f t="shared" si="56"/>
        <v>2.9460997656511549E-2</v>
      </c>
      <c r="Q599" t="str">
        <f t="shared" si="57"/>
        <v>Small</v>
      </c>
      <c r="R599" s="19">
        <f t="shared" si="58"/>
        <v>0</v>
      </c>
      <c r="S599" t="str">
        <f t="shared" si="59"/>
        <v>3</v>
      </c>
    </row>
    <row r="600" spans="1:19" x14ac:dyDescent="0.25">
      <c r="A600" t="s">
        <v>619</v>
      </c>
      <c r="B600" t="s">
        <v>11</v>
      </c>
      <c r="C600" t="s">
        <v>17</v>
      </c>
      <c r="D600">
        <v>0</v>
      </c>
      <c r="E600" t="s">
        <v>13</v>
      </c>
      <c r="F600" t="s">
        <v>17</v>
      </c>
      <c r="G600" s="3">
        <v>9963</v>
      </c>
      <c r="H600" s="3">
        <v>0</v>
      </c>
      <c r="I600" s="3">
        <v>180</v>
      </c>
      <c r="J600">
        <v>360</v>
      </c>
      <c r="K600">
        <v>1</v>
      </c>
      <c r="L600" t="s">
        <v>18</v>
      </c>
      <c r="M600" t="s">
        <v>15</v>
      </c>
      <c r="N600">
        <f t="shared" si="54"/>
        <v>9963</v>
      </c>
      <c r="O600" t="str">
        <f t="shared" si="55"/>
        <v>High</v>
      </c>
      <c r="P600" s="4">
        <f t="shared" si="56"/>
        <v>1.8066847335140017E-2</v>
      </c>
      <c r="Q600" t="str">
        <f t="shared" si="57"/>
        <v>Medium</v>
      </c>
      <c r="R600" s="19">
        <f t="shared" si="58"/>
        <v>1</v>
      </c>
      <c r="S600" t="str">
        <f t="shared" si="59"/>
        <v>2</v>
      </c>
    </row>
    <row r="601" spans="1:19" x14ac:dyDescent="0.25">
      <c r="A601" t="s">
        <v>620</v>
      </c>
      <c r="B601" t="s">
        <v>11</v>
      </c>
      <c r="C601" t="s">
        <v>17</v>
      </c>
      <c r="D601">
        <v>2</v>
      </c>
      <c r="E601" t="s">
        <v>13</v>
      </c>
      <c r="F601" t="s">
        <v>12</v>
      </c>
      <c r="G601" s="3">
        <v>5780</v>
      </c>
      <c r="H601" s="3">
        <v>0</v>
      </c>
      <c r="I601" s="3">
        <v>192</v>
      </c>
      <c r="J601">
        <v>360</v>
      </c>
      <c r="K601">
        <v>1</v>
      </c>
      <c r="L601" t="s">
        <v>14</v>
      </c>
      <c r="M601" t="s">
        <v>15</v>
      </c>
      <c r="N601">
        <f t="shared" si="54"/>
        <v>5780</v>
      </c>
      <c r="O601" t="str">
        <f t="shared" si="55"/>
        <v>Medium</v>
      </c>
      <c r="P601" s="4">
        <f t="shared" si="56"/>
        <v>3.3217993079584777E-2</v>
      </c>
      <c r="Q601" t="str">
        <f t="shared" si="57"/>
        <v>Medium</v>
      </c>
      <c r="R601" s="19">
        <f t="shared" si="58"/>
        <v>1</v>
      </c>
      <c r="S601" t="str">
        <f t="shared" si="59"/>
        <v>1</v>
      </c>
    </row>
    <row r="602" spans="1:19" x14ac:dyDescent="0.25">
      <c r="A602" t="s">
        <v>621</v>
      </c>
      <c r="B602" t="s">
        <v>38</v>
      </c>
      <c r="C602" t="s">
        <v>12</v>
      </c>
      <c r="D602">
        <v>3</v>
      </c>
      <c r="E602" t="s">
        <v>13</v>
      </c>
      <c r="F602" t="s">
        <v>12</v>
      </c>
      <c r="G602" s="3">
        <v>416</v>
      </c>
      <c r="H602" s="3">
        <v>41667</v>
      </c>
      <c r="I602" s="3">
        <v>350</v>
      </c>
      <c r="J602">
        <v>180</v>
      </c>
      <c r="K602">
        <v>0</v>
      </c>
      <c r="L602" t="s">
        <v>14</v>
      </c>
      <c r="M602" t="s">
        <v>19</v>
      </c>
      <c r="N602">
        <f t="shared" si="54"/>
        <v>42083</v>
      </c>
      <c r="O602" t="str">
        <f t="shared" si="55"/>
        <v>High</v>
      </c>
      <c r="P602" s="4">
        <f t="shared" si="56"/>
        <v>8.3168975595846305E-3</v>
      </c>
      <c r="Q602" t="str">
        <f t="shared" si="57"/>
        <v>Large</v>
      </c>
      <c r="R602" s="19">
        <f t="shared" si="58"/>
        <v>0</v>
      </c>
      <c r="S602" t="str">
        <f t="shared" si="59"/>
        <v>1</v>
      </c>
    </row>
    <row r="603" spans="1:19" x14ac:dyDescent="0.25">
      <c r="A603" t="s">
        <v>622</v>
      </c>
      <c r="B603" t="s">
        <v>11</v>
      </c>
      <c r="C603" t="s">
        <v>17</v>
      </c>
      <c r="D603">
        <v>0</v>
      </c>
      <c r="E603" t="s">
        <v>22</v>
      </c>
      <c r="F603" t="s">
        <v>12</v>
      </c>
      <c r="G603" s="3">
        <v>2894</v>
      </c>
      <c r="H603" s="3">
        <v>2792</v>
      </c>
      <c r="I603" s="3">
        <v>155</v>
      </c>
      <c r="J603">
        <v>360</v>
      </c>
      <c r="K603">
        <v>1</v>
      </c>
      <c r="L603" t="s">
        <v>18</v>
      </c>
      <c r="M603" t="s">
        <v>15</v>
      </c>
      <c r="N603">
        <f t="shared" si="54"/>
        <v>5686</v>
      </c>
      <c r="O603" t="str">
        <f t="shared" si="55"/>
        <v>Medium</v>
      </c>
      <c r="P603" s="4">
        <f t="shared" si="56"/>
        <v>2.7259936686598662E-2</v>
      </c>
      <c r="Q603" t="str">
        <f t="shared" si="57"/>
        <v>Medium</v>
      </c>
      <c r="R603" s="19">
        <f t="shared" si="58"/>
        <v>1</v>
      </c>
      <c r="S603" t="str">
        <f t="shared" si="59"/>
        <v>2</v>
      </c>
    </row>
    <row r="604" spans="1:19" x14ac:dyDescent="0.25">
      <c r="A604" t="s">
        <v>623</v>
      </c>
      <c r="B604" t="s">
        <v>11</v>
      </c>
      <c r="C604" t="s">
        <v>17</v>
      </c>
      <c r="D604">
        <v>3</v>
      </c>
      <c r="E604" t="s">
        <v>13</v>
      </c>
      <c r="F604" t="s">
        <v>12</v>
      </c>
      <c r="G604" s="3">
        <v>5703</v>
      </c>
      <c r="H604" s="3">
        <v>0</v>
      </c>
      <c r="I604" s="3">
        <v>128</v>
      </c>
      <c r="J604">
        <v>360</v>
      </c>
      <c r="K604">
        <v>1</v>
      </c>
      <c r="L604" t="s">
        <v>14</v>
      </c>
      <c r="M604" t="s">
        <v>15</v>
      </c>
      <c r="N604">
        <f t="shared" si="54"/>
        <v>5703</v>
      </c>
      <c r="O604" t="str">
        <f t="shared" si="55"/>
        <v>Medium</v>
      </c>
      <c r="P604" s="4">
        <f t="shared" si="56"/>
        <v>2.2444327546905139E-2</v>
      </c>
      <c r="Q604" t="str">
        <f t="shared" si="57"/>
        <v>Medium</v>
      </c>
      <c r="R604" s="19">
        <f t="shared" si="58"/>
        <v>1</v>
      </c>
      <c r="S604" t="str">
        <f t="shared" si="59"/>
        <v>1</v>
      </c>
    </row>
    <row r="605" spans="1:19" x14ac:dyDescent="0.25">
      <c r="A605" t="s">
        <v>624</v>
      </c>
      <c r="B605" t="s">
        <v>11</v>
      </c>
      <c r="C605" t="s">
        <v>12</v>
      </c>
      <c r="D605">
        <v>0</v>
      </c>
      <c r="E605" t="s">
        <v>13</v>
      </c>
      <c r="F605" t="s">
        <v>12</v>
      </c>
      <c r="G605" s="3">
        <v>3676</v>
      </c>
      <c r="H605" s="3">
        <v>4301</v>
      </c>
      <c r="I605" s="3">
        <v>172</v>
      </c>
      <c r="J605">
        <v>360</v>
      </c>
      <c r="K605">
        <v>1</v>
      </c>
      <c r="L605" t="s">
        <v>18</v>
      </c>
      <c r="M605" t="s">
        <v>15</v>
      </c>
      <c r="N605">
        <f t="shared" si="54"/>
        <v>7977</v>
      </c>
      <c r="O605" t="str">
        <f t="shared" si="55"/>
        <v>Medium</v>
      </c>
      <c r="P605" s="4">
        <f t="shared" si="56"/>
        <v>2.1561990723329573E-2</v>
      </c>
      <c r="Q605" t="str">
        <f t="shared" si="57"/>
        <v>Medium</v>
      </c>
      <c r="R605" s="19">
        <f t="shared" si="58"/>
        <v>1</v>
      </c>
      <c r="S605" t="str">
        <f t="shared" si="59"/>
        <v>2</v>
      </c>
    </row>
    <row r="606" spans="1:19" x14ac:dyDescent="0.25">
      <c r="A606" t="s">
        <v>625</v>
      </c>
      <c r="B606" t="s">
        <v>38</v>
      </c>
      <c r="C606" t="s">
        <v>17</v>
      </c>
      <c r="D606">
        <v>1</v>
      </c>
      <c r="E606" t="s">
        <v>13</v>
      </c>
      <c r="F606" t="s">
        <v>12</v>
      </c>
      <c r="G606" s="3">
        <v>12000</v>
      </c>
      <c r="H606" s="3">
        <v>0</v>
      </c>
      <c r="I606" s="3">
        <v>496</v>
      </c>
      <c r="J606">
        <v>360</v>
      </c>
      <c r="K606">
        <v>1</v>
      </c>
      <c r="L606" t="s">
        <v>27</v>
      </c>
      <c r="M606" t="s">
        <v>15</v>
      </c>
      <c r="N606">
        <f t="shared" si="54"/>
        <v>12000</v>
      </c>
      <c r="O606" t="str">
        <f t="shared" si="55"/>
        <v>High</v>
      </c>
      <c r="P606" s="4">
        <f t="shared" si="56"/>
        <v>4.1333333333333333E-2</v>
      </c>
      <c r="Q606" t="str">
        <f t="shared" si="57"/>
        <v>Large</v>
      </c>
      <c r="R606" s="19">
        <f t="shared" si="58"/>
        <v>1</v>
      </c>
      <c r="S606" t="str">
        <f t="shared" si="59"/>
        <v>3</v>
      </c>
    </row>
    <row r="607" spans="1:19" x14ac:dyDescent="0.25">
      <c r="A607" t="s">
        <v>626</v>
      </c>
      <c r="B607" t="s">
        <v>11</v>
      </c>
      <c r="C607" t="s">
        <v>17</v>
      </c>
      <c r="D607">
        <v>0</v>
      </c>
      <c r="E607" t="s">
        <v>22</v>
      </c>
      <c r="F607" t="s">
        <v>12</v>
      </c>
      <c r="G607" s="3">
        <v>2400</v>
      </c>
      <c r="H607" s="3">
        <v>3800</v>
      </c>
      <c r="I607" s="3">
        <v>0</v>
      </c>
      <c r="J607">
        <v>180</v>
      </c>
      <c r="K607">
        <v>1</v>
      </c>
      <c r="L607" t="s">
        <v>14</v>
      </c>
      <c r="M607" t="s">
        <v>19</v>
      </c>
      <c r="N607">
        <f t="shared" si="54"/>
        <v>6200</v>
      </c>
      <c r="O607" t="str">
        <f t="shared" si="55"/>
        <v>Medium</v>
      </c>
      <c r="P607" s="4">
        <f t="shared" si="56"/>
        <v>0</v>
      </c>
      <c r="Q607" t="str">
        <f t="shared" si="57"/>
        <v>Small</v>
      </c>
      <c r="R607" s="19">
        <f t="shared" si="58"/>
        <v>0</v>
      </c>
      <c r="S607" t="str">
        <f t="shared" si="59"/>
        <v>1</v>
      </c>
    </row>
    <row r="608" spans="1:19" x14ac:dyDescent="0.25">
      <c r="A608" t="s">
        <v>627</v>
      </c>
      <c r="B608" t="s">
        <v>11</v>
      </c>
      <c r="C608" t="s">
        <v>17</v>
      </c>
      <c r="D608">
        <v>1</v>
      </c>
      <c r="E608" t="s">
        <v>13</v>
      </c>
      <c r="F608" t="s">
        <v>12</v>
      </c>
      <c r="G608" s="3">
        <v>3400</v>
      </c>
      <c r="H608" s="3">
        <v>2500</v>
      </c>
      <c r="I608" s="3">
        <v>173</v>
      </c>
      <c r="J608">
        <v>360</v>
      </c>
      <c r="K608">
        <v>1</v>
      </c>
      <c r="L608" t="s">
        <v>27</v>
      </c>
      <c r="M608" t="s">
        <v>15</v>
      </c>
      <c r="N608">
        <f t="shared" si="54"/>
        <v>5900</v>
      </c>
      <c r="O608" t="str">
        <f t="shared" si="55"/>
        <v>Medium</v>
      </c>
      <c r="P608" s="4">
        <f t="shared" si="56"/>
        <v>2.9322033898305084E-2</v>
      </c>
      <c r="Q608" t="str">
        <f t="shared" si="57"/>
        <v>Medium</v>
      </c>
      <c r="R608" s="19">
        <f t="shared" si="58"/>
        <v>1</v>
      </c>
      <c r="S608" t="str">
        <f t="shared" si="59"/>
        <v>3</v>
      </c>
    </row>
    <row r="609" spans="1:19" x14ac:dyDescent="0.25">
      <c r="A609" t="s">
        <v>628</v>
      </c>
      <c r="B609" t="s">
        <v>11</v>
      </c>
      <c r="C609" t="s">
        <v>17</v>
      </c>
      <c r="D609">
        <v>2</v>
      </c>
      <c r="E609" t="s">
        <v>22</v>
      </c>
      <c r="F609" t="s">
        <v>12</v>
      </c>
      <c r="G609" s="3">
        <v>3987</v>
      </c>
      <c r="H609" s="3">
        <v>1411</v>
      </c>
      <c r="I609" s="3">
        <v>157</v>
      </c>
      <c r="J609">
        <v>360</v>
      </c>
      <c r="K609">
        <v>1</v>
      </c>
      <c r="L609" t="s">
        <v>18</v>
      </c>
      <c r="M609" t="s">
        <v>15</v>
      </c>
      <c r="N609">
        <f t="shared" si="54"/>
        <v>5398</v>
      </c>
      <c r="O609" t="str">
        <f t="shared" si="55"/>
        <v>Medium</v>
      </c>
      <c r="P609" s="4">
        <f t="shared" si="56"/>
        <v>2.9084846239347907E-2</v>
      </c>
      <c r="Q609" t="str">
        <f t="shared" si="57"/>
        <v>Medium</v>
      </c>
      <c r="R609" s="19">
        <f t="shared" si="58"/>
        <v>1</v>
      </c>
      <c r="S609" t="str">
        <f t="shared" si="59"/>
        <v>2</v>
      </c>
    </row>
    <row r="610" spans="1:19" x14ac:dyDescent="0.25">
      <c r="A610" t="s">
        <v>629</v>
      </c>
      <c r="B610" t="s">
        <v>11</v>
      </c>
      <c r="C610" t="s">
        <v>17</v>
      </c>
      <c r="D610">
        <v>0</v>
      </c>
      <c r="E610" t="s">
        <v>13</v>
      </c>
      <c r="F610" t="s">
        <v>12</v>
      </c>
      <c r="G610" s="3">
        <v>3232</v>
      </c>
      <c r="H610" s="3">
        <v>1950</v>
      </c>
      <c r="I610" s="3">
        <v>108</v>
      </c>
      <c r="J610">
        <v>360</v>
      </c>
      <c r="K610">
        <v>1</v>
      </c>
      <c r="L610" t="s">
        <v>18</v>
      </c>
      <c r="M610" t="s">
        <v>15</v>
      </c>
      <c r="N610">
        <f t="shared" si="54"/>
        <v>5182</v>
      </c>
      <c r="O610" t="str">
        <f t="shared" si="55"/>
        <v>Medium</v>
      </c>
      <c r="P610" s="4">
        <f t="shared" si="56"/>
        <v>2.0841373986877652E-2</v>
      </c>
      <c r="Q610" t="str">
        <f t="shared" si="57"/>
        <v>Medium</v>
      </c>
      <c r="R610" s="19">
        <f t="shared" si="58"/>
        <v>1</v>
      </c>
      <c r="S610" t="str">
        <f t="shared" si="59"/>
        <v>2</v>
      </c>
    </row>
    <row r="611" spans="1:19" x14ac:dyDescent="0.25">
      <c r="A611" t="s">
        <v>630</v>
      </c>
      <c r="B611" t="s">
        <v>38</v>
      </c>
      <c r="C611" t="s">
        <v>12</v>
      </c>
      <c r="D611">
        <v>0</v>
      </c>
      <c r="E611" t="s">
        <v>13</v>
      </c>
      <c r="F611" t="s">
        <v>12</v>
      </c>
      <c r="G611" s="3">
        <v>2900</v>
      </c>
      <c r="H611" s="3">
        <v>0</v>
      </c>
      <c r="I611" s="3">
        <v>71</v>
      </c>
      <c r="J611">
        <v>360</v>
      </c>
      <c r="K611">
        <v>1</v>
      </c>
      <c r="L611" t="s">
        <v>18</v>
      </c>
      <c r="M611" t="s">
        <v>15</v>
      </c>
      <c r="N611">
        <f t="shared" si="54"/>
        <v>2900</v>
      </c>
      <c r="O611" t="str">
        <f t="shared" si="55"/>
        <v>Low</v>
      </c>
      <c r="P611" s="4">
        <f t="shared" si="56"/>
        <v>2.4482758620689656E-2</v>
      </c>
      <c r="Q611" t="str">
        <f t="shared" si="57"/>
        <v>Small</v>
      </c>
      <c r="R611" s="19">
        <f t="shared" si="58"/>
        <v>1</v>
      </c>
      <c r="S611" t="str">
        <f t="shared" si="59"/>
        <v>2</v>
      </c>
    </row>
    <row r="612" spans="1:19" x14ac:dyDescent="0.25">
      <c r="A612" t="s">
        <v>631</v>
      </c>
      <c r="B612" t="s">
        <v>11</v>
      </c>
      <c r="C612" t="s">
        <v>17</v>
      </c>
      <c r="D612">
        <v>3</v>
      </c>
      <c r="E612" t="s">
        <v>13</v>
      </c>
      <c r="F612" t="s">
        <v>12</v>
      </c>
      <c r="G612" s="3">
        <v>4106</v>
      </c>
      <c r="H612" s="3">
        <v>0</v>
      </c>
      <c r="I612" s="3">
        <v>40</v>
      </c>
      <c r="J612">
        <v>180</v>
      </c>
      <c r="K612">
        <v>1</v>
      </c>
      <c r="L612" t="s">
        <v>18</v>
      </c>
      <c r="M612" t="s">
        <v>15</v>
      </c>
      <c r="N612">
        <f t="shared" si="54"/>
        <v>4106</v>
      </c>
      <c r="O612" t="str">
        <f t="shared" si="55"/>
        <v>Medium</v>
      </c>
      <c r="P612" s="4">
        <f t="shared" si="56"/>
        <v>9.74184120798831E-3</v>
      </c>
      <c r="Q612" t="str">
        <f t="shared" si="57"/>
        <v>Small</v>
      </c>
      <c r="R612" s="19">
        <f t="shared" si="58"/>
        <v>1</v>
      </c>
      <c r="S612" t="str">
        <f t="shared" si="59"/>
        <v>2</v>
      </c>
    </row>
    <row r="613" spans="1:19" x14ac:dyDescent="0.25">
      <c r="A613" t="s">
        <v>632</v>
      </c>
      <c r="B613" t="s">
        <v>11</v>
      </c>
      <c r="C613" t="s">
        <v>17</v>
      </c>
      <c r="D613">
        <v>1</v>
      </c>
      <c r="E613" t="s">
        <v>13</v>
      </c>
      <c r="F613" t="s">
        <v>12</v>
      </c>
      <c r="G613" s="3">
        <v>8072</v>
      </c>
      <c r="H613" s="3">
        <v>240</v>
      </c>
      <c r="I613" s="3">
        <v>253</v>
      </c>
      <c r="J613">
        <v>360</v>
      </c>
      <c r="K613">
        <v>1</v>
      </c>
      <c r="L613" t="s">
        <v>14</v>
      </c>
      <c r="M613" t="s">
        <v>15</v>
      </c>
      <c r="N613">
        <f t="shared" si="54"/>
        <v>8312</v>
      </c>
      <c r="O613" t="str">
        <f t="shared" si="55"/>
        <v>High</v>
      </c>
      <c r="P613" s="4">
        <f t="shared" si="56"/>
        <v>3.0437921077959576E-2</v>
      </c>
      <c r="Q613" t="str">
        <f t="shared" si="57"/>
        <v>Large</v>
      </c>
      <c r="R613" s="19">
        <f t="shared" si="58"/>
        <v>1</v>
      </c>
      <c r="S613" t="str">
        <f t="shared" si="59"/>
        <v>1</v>
      </c>
    </row>
    <row r="614" spans="1:19" x14ac:dyDescent="0.25">
      <c r="A614" t="s">
        <v>633</v>
      </c>
      <c r="B614" t="s">
        <v>11</v>
      </c>
      <c r="C614" t="s">
        <v>17</v>
      </c>
      <c r="D614">
        <v>2</v>
      </c>
      <c r="E614" t="s">
        <v>13</v>
      </c>
      <c r="F614" t="s">
        <v>12</v>
      </c>
      <c r="G614" s="3">
        <v>7583</v>
      </c>
      <c r="H614" s="3">
        <v>0</v>
      </c>
      <c r="I614" s="3">
        <v>187</v>
      </c>
      <c r="J614">
        <v>360</v>
      </c>
      <c r="K614">
        <v>1</v>
      </c>
      <c r="L614" t="s">
        <v>14</v>
      </c>
      <c r="M614" t="s">
        <v>15</v>
      </c>
      <c r="N614">
        <f t="shared" si="54"/>
        <v>7583</v>
      </c>
      <c r="O614" t="str">
        <f t="shared" si="55"/>
        <v>Medium</v>
      </c>
      <c r="P614" s="4">
        <f t="shared" si="56"/>
        <v>2.4660424634049848E-2</v>
      </c>
      <c r="Q614" t="str">
        <f t="shared" si="57"/>
        <v>Medium</v>
      </c>
      <c r="R614" s="19">
        <f t="shared" si="58"/>
        <v>1</v>
      </c>
      <c r="S614" t="str">
        <f t="shared" si="59"/>
        <v>1</v>
      </c>
    </row>
    <row r="615" spans="1:19" x14ac:dyDescent="0.25">
      <c r="A615" t="s">
        <v>634</v>
      </c>
      <c r="B615" t="s">
        <v>38</v>
      </c>
      <c r="C615" t="s">
        <v>12</v>
      </c>
      <c r="D615">
        <v>0</v>
      </c>
      <c r="E615" t="s">
        <v>13</v>
      </c>
      <c r="F615" t="s">
        <v>17</v>
      </c>
      <c r="G615" s="3">
        <v>4583</v>
      </c>
      <c r="H615" s="3">
        <v>0</v>
      </c>
      <c r="I615" s="3">
        <v>133</v>
      </c>
      <c r="J615">
        <v>360</v>
      </c>
      <c r="K615">
        <v>0</v>
      </c>
      <c r="L615" t="s">
        <v>27</v>
      </c>
      <c r="M615" t="s">
        <v>19</v>
      </c>
      <c r="N615">
        <f t="shared" si="54"/>
        <v>4583</v>
      </c>
      <c r="O615" t="str">
        <f t="shared" si="55"/>
        <v>Medium</v>
      </c>
      <c r="P615" s="4">
        <f t="shared" si="56"/>
        <v>2.9020292384900719E-2</v>
      </c>
      <c r="Q615" t="str">
        <f t="shared" si="57"/>
        <v>Medium</v>
      </c>
      <c r="R615" s="19">
        <f t="shared" si="58"/>
        <v>0</v>
      </c>
      <c r="S615" t="str">
        <f t="shared" si="59"/>
        <v>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J53"/>
  <sheetViews>
    <sheetView workbookViewId="0">
      <selection activeCell="G12" sqref="G12"/>
    </sheetView>
  </sheetViews>
  <sheetFormatPr defaultRowHeight="13.8" x14ac:dyDescent="0.25"/>
  <cols>
    <col min="1" max="1" width="11.8984375" bestFit="1" customWidth="1"/>
    <col min="2" max="2" width="19.5" bestFit="1" customWidth="1"/>
    <col min="3" max="3" width="10.69921875" customWidth="1"/>
    <col min="4" max="4" width="15.8984375" bestFit="1" customWidth="1"/>
    <col min="5" max="5" width="20.69921875" bestFit="1" customWidth="1"/>
    <col min="6" max="6" width="14.69921875" customWidth="1"/>
    <col min="7" max="7" width="12.5" bestFit="1" customWidth="1"/>
    <col min="8" max="8" width="14.5" bestFit="1" customWidth="1"/>
    <col min="9" max="9" width="18.19921875" bestFit="1" customWidth="1"/>
    <col min="10" max="10" width="19.5" customWidth="1"/>
  </cols>
  <sheetData>
    <row r="2" spans="1:10" x14ac:dyDescent="0.25">
      <c r="A2" s="52" t="s">
        <v>660</v>
      </c>
      <c r="B2" s="52"/>
    </row>
    <row r="3" spans="1:10" x14ac:dyDescent="0.25">
      <c r="A3" s="1" t="s">
        <v>644</v>
      </c>
      <c r="B3" t="s">
        <v>646</v>
      </c>
    </row>
    <row r="4" spans="1:10" x14ac:dyDescent="0.25">
      <c r="A4" s="2" t="s">
        <v>38</v>
      </c>
      <c r="B4" s="14">
        <v>0.19381107491856678</v>
      </c>
    </row>
    <row r="5" spans="1:10" x14ac:dyDescent="0.25">
      <c r="A5" s="2" t="s">
        <v>11</v>
      </c>
      <c r="B5" s="14">
        <v>0.80618892508143325</v>
      </c>
      <c r="D5" t="s">
        <v>665</v>
      </c>
    </row>
    <row r="6" spans="1:10" x14ac:dyDescent="0.25">
      <c r="A6" s="2" t="s">
        <v>645</v>
      </c>
      <c r="B6" s="14">
        <v>1</v>
      </c>
      <c r="C6" t="s">
        <v>666</v>
      </c>
      <c r="D6">
        <f>COUNTIFS(Data!K:K,0,Data!R:R,"1")/COUNTIF(Data!K:K,1)</f>
        <v>4.7713717693836977E-2</v>
      </c>
    </row>
    <row r="7" spans="1:10" x14ac:dyDescent="0.25">
      <c r="C7" t="s">
        <v>667</v>
      </c>
      <c r="D7">
        <f>COUNTIFS(Data!K:K,0,Data!R:R,"1")/COUNTIF(Data!K:K,0)</f>
        <v>0.21621621621621623</v>
      </c>
    </row>
    <row r="8" spans="1:10" x14ac:dyDescent="0.25">
      <c r="A8" s="52" t="s">
        <v>661</v>
      </c>
      <c r="B8" s="52"/>
      <c r="D8">
        <f>D6-D7</f>
        <v>-0.16850249852237925</v>
      </c>
    </row>
    <row r="9" spans="1:10" x14ac:dyDescent="0.25">
      <c r="A9" s="1" t="s">
        <v>644</v>
      </c>
      <c r="B9" t="s">
        <v>646</v>
      </c>
    </row>
    <row r="10" spans="1:10" x14ac:dyDescent="0.25">
      <c r="A10" s="2" t="s">
        <v>13</v>
      </c>
      <c r="B10" s="14">
        <v>0.78175895765472314</v>
      </c>
      <c r="D10" s="1" t="s">
        <v>9</v>
      </c>
      <c r="E10" t="s">
        <v>671</v>
      </c>
    </row>
    <row r="11" spans="1:10" x14ac:dyDescent="0.25">
      <c r="A11" s="2" t="s">
        <v>22</v>
      </c>
      <c r="B11" s="14">
        <v>0.21824104234527689</v>
      </c>
    </row>
    <row r="12" spans="1:10" x14ac:dyDescent="0.25">
      <c r="A12" s="2" t="s">
        <v>645</v>
      </c>
      <c r="B12" s="14">
        <v>1</v>
      </c>
      <c r="D12" s="1" t="s">
        <v>670</v>
      </c>
      <c r="E12" t="s">
        <v>669</v>
      </c>
      <c r="G12" s="1" t="s">
        <v>644</v>
      </c>
      <c r="H12" t="s">
        <v>690</v>
      </c>
      <c r="I12" t="s">
        <v>691</v>
      </c>
      <c r="J12" t="s">
        <v>651</v>
      </c>
    </row>
    <row r="13" spans="1:10" x14ac:dyDescent="0.25">
      <c r="D13" s="16" t="s">
        <v>672</v>
      </c>
      <c r="E13" s="18">
        <v>105.27500000000001</v>
      </c>
      <c r="G13" s="16" t="s">
        <v>672</v>
      </c>
      <c r="H13" s="17">
        <v>40</v>
      </c>
      <c r="I13" s="17">
        <v>25</v>
      </c>
      <c r="J13" s="20">
        <f>GETPIVOTDATA("Sum of Approval Flag",$G$12,"Applicant Income",0)/GETPIVOTDATA("Count of Loan_ID",$G$12,"Applicant Income",0)</f>
        <v>0.625</v>
      </c>
    </row>
    <row r="14" spans="1:10" x14ac:dyDescent="0.25">
      <c r="A14" s="52" t="s">
        <v>662</v>
      </c>
      <c r="B14" s="52"/>
      <c r="D14" s="16" t="s">
        <v>673</v>
      </c>
      <c r="E14" s="18">
        <v>110.19587628865979</v>
      </c>
      <c r="G14" s="16" t="s">
        <v>673</v>
      </c>
      <c r="H14" s="17">
        <v>291</v>
      </c>
      <c r="I14" s="17">
        <v>206</v>
      </c>
      <c r="J14" s="20">
        <f>GETPIVOTDATA("Sum of Approval Flag",$G$12,"Applicant Income",2000)/GETPIVOTDATA("Count of Loan_ID",$G$12,"Applicant Income",2000)</f>
        <v>0.70790378006872856</v>
      </c>
    </row>
    <row r="15" spans="1:10" x14ac:dyDescent="0.25">
      <c r="A15" s="1" t="s">
        <v>644</v>
      </c>
      <c r="B15" t="s">
        <v>646</v>
      </c>
      <c r="D15" s="16" t="s">
        <v>674</v>
      </c>
      <c r="E15" s="18">
        <v>139.39285714285714</v>
      </c>
      <c r="G15" s="16" t="s">
        <v>674</v>
      </c>
      <c r="H15" s="17">
        <v>140</v>
      </c>
      <c r="I15" s="17">
        <v>96</v>
      </c>
      <c r="J15" s="20">
        <f>GETPIVOTDATA("Sum of Approval Flag",$G$12,"Applicant Income",4000)/GETPIVOTDATA("Count of Loan_ID",$G$12,"Applicant Income",4000)</f>
        <v>0.68571428571428572</v>
      </c>
    </row>
    <row r="16" spans="1:10" x14ac:dyDescent="0.25">
      <c r="A16" s="2" t="s">
        <v>12</v>
      </c>
      <c r="B16" s="14">
        <v>0.35016286644951139</v>
      </c>
      <c r="D16" s="16" t="s">
        <v>675</v>
      </c>
      <c r="E16" s="18">
        <v>169.25423728813558</v>
      </c>
      <c r="G16" s="16" t="s">
        <v>675</v>
      </c>
      <c r="H16" s="17">
        <v>59</v>
      </c>
      <c r="I16" s="17">
        <v>37</v>
      </c>
      <c r="J16" s="20">
        <f>GETPIVOTDATA("Sum of Approval Flag",$G$12,"Applicant Income",6000)/GETPIVOTDATA("Count of Loan_ID",$G$12,"Applicant Income",6000)</f>
        <v>0.6271186440677966</v>
      </c>
    </row>
    <row r="17" spans="1:10" x14ac:dyDescent="0.25">
      <c r="A17" s="2" t="s">
        <v>17</v>
      </c>
      <c r="B17" s="14">
        <v>0.64983713355048855</v>
      </c>
      <c r="D17" s="16" t="s">
        <v>676</v>
      </c>
      <c r="E17" s="18">
        <v>212.44827586206895</v>
      </c>
      <c r="G17" s="16" t="s">
        <v>676</v>
      </c>
      <c r="H17" s="17">
        <v>29</v>
      </c>
      <c r="I17" s="17">
        <v>23</v>
      </c>
      <c r="J17" s="20">
        <f>GETPIVOTDATA("Sum of Approval Flag",$G$12,"Applicant Income",8000)/GETPIVOTDATA("Count of Loan_ID",$G$12,"Applicant Income",8000)</f>
        <v>0.7931034482758621</v>
      </c>
    </row>
    <row r="18" spans="1:10" x14ac:dyDescent="0.25">
      <c r="A18" s="2" t="s">
        <v>645</v>
      </c>
      <c r="B18" s="14">
        <v>1</v>
      </c>
      <c r="D18" s="16" t="s">
        <v>677</v>
      </c>
      <c r="E18" s="18">
        <v>194.9375</v>
      </c>
      <c r="G18" s="16" t="s">
        <v>677</v>
      </c>
      <c r="H18" s="17">
        <v>16</v>
      </c>
      <c r="I18" s="17">
        <v>8</v>
      </c>
      <c r="J18" s="20">
        <f>GETPIVOTDATA("Sum of Approval Flag",$G$12,"Applicant Income",10000)/GETPIVOTDATA("Count of Loan_ID",$G$12,"Applicant Income",10000)</f>
        <v>0.5</v>
      </c>
    </row>
    <row r="19" spans="1:10" x14ac:dyDescent="0.25">
      <c r="D19" s="16" t="s">
        <v>678</v>
      </c>
      <c r="E19" s="18">
        <v>253.42857142857142</v>
      </c>
      <c r="G19" s="16" t="s">
        <v>678</v>
      </c>
      <c r="H19" s="17">
        <v>7</v>
      </c>
      <c r="I19" s="17">
        <v>4</v>
      </c>
      <c r="J19" s="20">
        <f>GETPIVOTDATA("Sum of Approval Flag",$G$12,"Applicant Income",12000)/GETPIVOTDATA("Count of Loan_ID",$G$12,"Applicant Income",12000)</f>
        <v>0.5714285714285714</v>
      </c>
    </row>
    <row r="20" spans="1:10" x14ac:dyDescent="0.25">
      <c r="A20" s="52" t="s">
        <v>664</v>
      </c>
      <c r="B20" s="52"/>
      <c r="D20" s="16" t="s">
        <v>679</v>
      </c>
      <c r="E20" s="18">
        <v>211</v>
      </c>
      <c r="G20" s="16" t="s">
        <v>679</v>
      </c>
      <c r="H20" s="17">
        <v>8</v>
      </c>
      <c r="I20" s="17">
        <v>6</v>
      </c>
      <c r="J20" s="20">
        <f>GETPIVOTDATA("Sum of Approval Flag",$G$12,"Applicant Income",14000)/GETPIVOTDATA("Count of Loan_ID",$G$12,"Applicant Income",14000)</f>
        <v>0.75</v>
      </c>
    </row>
    <row r="21" spans="1:10" x14ac:dyDescent="0.25">
      <c r="A21" s="1" t="s">
        <v>644</v>
      </c>
      <c r="B21" t="s">
        <v>646</v>
      </c>
      <c r="D21" s="16" t="s">
        <v>680</v>
      </c>
      <c r="E21" s="18">
        <v>212.25</v>
      </c>
      <c r="G21" s="16" t="s">
        <v>680</v>
      </c>
      <c r="H21" s="17">
        <v>8</v>
      </c>
      <c r="I21" s="17">
        <v>7</v>
      </c>
      <c r="J21" s="20">
        <f>GETPIVOTDATA("Sum of Approval Flag",$G$12,"Applicant Income",16000)/GETPIVOTDATA("Count of Loan_ID",$G$12,"Applicant Income",16000)</f>
        <v>0.875</v>
      </c>
    </row>
    <row r="22" spans="1:10" x14ac:dyDescent="0.25">
      <c r="A22" s="2" t="s">
        <v>12</v>
      </c>
      <c r="B22" s="14">
        <v>0.86644951140065152</v>
      </c>
      <c r="D22" s="16" t="s">
        <v>681</v>
      </c>
      <c r="E22" s="18">
        <v>448.75</v>
      </c>
      <c r="G22" s="16" t="s">
        <v>681</v>
      </c>
      <c r="H22" s="17">
        <v>4</v>
      </c>
      <c r="I22" s="17">
        <v>2</v>
      </c>
      <c r="J22" s="20">
        <f>GETPIVOTDATA("Sum of Approval Flag",$G$12,"Applicant Income",18000)/GETPIVOTDATA("Count of Loan_ID",$G$12,"Applicant Income",18000)</f>
        <v>0.5</v>
      </c>
    </row>
    <row r="23" spans="1:10" x14ac:dyDescent="0.25">
      <c r="A23" s="2" t="s">
        <v>17</v>
      </c>
      <c r="B23" s="14">
        <v>0.13355048859934854</v>
      </c>
      <c r="D23" s="16" t="s">
        <v>682</v>
      </c>
      <c r="E23" s="18">
        <v>402.5</v>
      </c>
      <c r="G23" s="16" t="s">
        <v>682</v>
      </c>
      <c r="H23" s="17">
        <v>4</v>
      </c>
      <c r="I23" s="17">
        <v>2</v>
      </c>
      <c r="J23" s="20">
        <f>GETPIVOTDATA("Sum of Approval Flag",$G$12,"Applicant Income",20000)/GETPIVOTDATA("Count of Loan_ID",$G$12,"Applicant Income",20000)</f>
        <v>0.5</v>
      </c>
    </row>
    <row r="24" spans="1:10" x14ac:dyDescent="0.25">
      <c r="A24" s="2" t="s">
        <v>645</v>
      </c>
      <c r="B24" s="14">
        <v>1</v>
      </c>
      <c r="D24" s="16" t="s">
        <v>683</v>
      </c>
      <c r="E24" s="18">
        <v>370</v>
      </c>
      <c r="G24" s="16" t="s">
        <v>683</v>
      </c>
      <c r="H24" s="17">
        <v>1</v>
      </c>
      <c r="I24" s="17">
        <v>1</v>
      </c>
      <c r="J24" s="20">
        <f>GETPIVOTDATA("Sum of Approval Flag",$G$12,"Applicant Income",22000)/GETPIVOTDATA("Count of Loan_ID",$G$12,"Applicant Income",22000)</f>
        <v>1</v>
      </c>
    </row>
    <row r="25" spans="1:10" x14ac:dyDescent="0.25">
      <c r="D25" s="16" t="s">
        <v>684</v>
      </c>
      <c r="E25" s="18">
        <v>260</v>
      </c>
      <c r="G25" s="16" t="s">
        <v>684</v>
      </c>
      <c r="H25" s="17">
        <v>1</v>
      </c>
      <c r="I25" s="17">
        <v>0</v>
      </c>
      <c r="J25" s="20">
        <f>GETPIVOTDATA("Sum of Approval Flag",$G$12,"Applicant Income",32000)/GETPIVOTDATA("Count of Loan_ID",$G$12,"Applicant Income",32000)</f>
        <v>0</v>
      </c>
    </row>
    <row r="26" spans="1:10" x14ac:dyDescent="0.25">
      <c r="A26" s="52" t="s">
        <v>663</v>
      </c>
      <c r="B26" s="52"/>
      <c r="D26" s="16" t="s">
        <v>685</v>
      </c>
      <c r="E26" s="18">
        <v>152</v>
      </c>
      <c r="G26" s="16" t="s">
        <v>685</v>
      </c>
      <c r="H26" s="17">
        <v>1</v>
      </c>
      <c r="I26" s="17">
        <v>1</v>
      </c>
      <c r="J26" s="20">
        <f>GETPIVOTDATA("Sum of Approval Flag",$G$12,"Applicant Income",36000)/GETPIVOTDATA("Count of Loan_ID",$G$12,"Applicant Income",36000)</f>
        <v>1</v>
      </c>
    </row>
    <row r="27" spans="1:10" x14ac:dyDescent="0.25">
      <c r="A27" s="1" t="s">
        <v>644</v>
      </c>
      <c r="B27" t="s">
        <v>646</v>
      </c>
      <c r="D27" s="16" t="s">
        <v>686</v>
      </c>
      <c r="E27" s="18">
        <v>360</v>
      </c>
      <c r="G27" s="16" t="s">
        <v>686</v>
      </c>
      <c r="H27" s="17">
        <v>2</v>
      </c>
      <c r="I27" s="17">
        <v>2</v>
      </c>
      <c r="J27" s="20">
        <f>GETPIVOTDATA("Sum of Approval Flag",$G$12,"Applicant Income",38000)/GETPIVOTDATA("Count of Loan_ID",$G$12,"Applicant Income",38000)</f>
        <v>1</v>
      </c>
    </row>
    <row r="28" spans="1:10" x14ac:dyDescent="0.25">
      <c r="A28" s="2" t="s">
        <v>18</v>
      </c>
      <c r="B28" s="14">
        <v>0.29153094462540718</v>
      </c>
      <c r="D28" s="16" t="s">
        <v>687</v>
      </c>
      <c r="E28" s="18">
        <v>700</v>
      </c>
      <c r="G28" s="16" t="s">
        <v>687</v>
      </c>
      <c r="H28" s="17">
        <v>1</v>
      </c>
      <c r="I28" s="17">
        <v>1</v>
      </c>
      <c r="J28" s="20">
        <f>GETPIVOTDATA("Sum of Approval Flag",$G$12,"Applicant Income",50000)/GETPIVOTDATA("Count of Loan_ID",$G$12,"Applicant Income",50000)</f>
        <v>1</v>
      </c>
    </row>
    <row r="29" spans="1:10" x14ac:dyDescent="0.25">
      <c r="A29" s="2" t="s">
        <v>27</v>
      </c>
      <c r="B29" s="14">
        <v>0.37947882736156352</v>
      </c>
      <c r="D29" s="16" t="s">
        <v>688</v>
      </c>
      <c r="E29" s="18">
        <v>490</v>
      </c>
      <c r="G29" s="16" t="s">
        <v>688</v>
      </c>
      <c r="H29" s="17">
        <v>1</v>
      </c>
      <c r="I29" s="17">
        <v>1</v>
      </c>
      <c r="J29" s="20">
        <f>GETPIVOTDATA("Sum of Approval Flag",$G$12,"Applicant Income",62000)/GETPIVOTDATA("Count of Loan_ID",$G$12,"Applicant Income",62000)</f>
        <v>1</v>
      </c>
    </row>
    <row r="30" spans="1:10" x14ac:dyDescent="0.25">
      <c r="A30" s="2" t="s">
        <v>14</v>
      </c>
      <c r="B30" s="14">
        <v>0.3289902280130293</v>
      </c>
      <c r="D30" s="16" t="s">
        <v>689</v>
      </c>
      <c r="E30" s="18">
        <v>360</v>
      </c>
      <c r="G30" s="16" t="s">
        <v>689</v>
      </c>
      <c r="H30" s="17">
        <v>1</v>
      </c>
      <c r="I30" s="17">
        <v>0</v>
      </c>
      <c r="J30" s="20">
        <f>GETPIVOTDATA("Sum of Approval Flag",$G$12,"Applicant Income",80000)/GETPIVOTDATA("Count of Loan_ID",$G$12,"Applicant Income",80000)</f>
        <v>0</v>
      </c>
    </row>
    <row r="31" spans="1:10" x14ac:dyDescent="0.25">
      <c r="A31" s="2" t="s">
        <v>645</v>
      </c>
      <c r="B31" s="14">
        <v>1</v>
      </c>
      <c r="D31" s="16" t="s">
        <v>645</v>
      </c>
      <c r="E31" s="18">
        <v>141.16612377850163</v>
      </c>
      <c r="G31" s="16" t="s">
        <v>645</v>
      </c>
      <c r="H31" s="17">
        <v>614</v>
      </c>
      <c r="I31" s="17">
        <v>422</v>
      </c>
      <c r="J31" s="20">
        <f>GETPIVOTDATA("Sum of Approval Flag",$G$12)/GETPIVOTDATA("Count of Loan_ID",$G$12)</f>
        <v>0.68729641693811072</v>
      </c>
    </row>
    <row r="35" spans="2:8" x14ac:dyDescent="0.25">
      <c r="B35" s="15" t="s">
        <v>670</v>
      </c>
      <c r="C35" s="15" t="s">
        <v>669</v>
      </c>
      <c r="D35" t="s">
        <v>651</v>
      </c>
      <c r="F35" s="5"/>
      <c r="G35" s="6"/>
      <c r="H35" s="7"/>
    </row>
    <row r="36" spans="2:8" x14ac:dyDescent="0.25">
      <c r="B36" s="16" t="s">
        <v>672</v>
      </c>
      <c r="C36" s="18">
        <v>105.27500000000001</v>
      </c>
      <c r="D36" s="20">
        <f>GETPIVOTDATA("Sum of Approval Flag",$G$12,"Applicant Income",0)/GETPIVOTDATA("Count of Loan_ID",$G$12,"Applicant Income",0)</f>
        <v>0.625</v>
      </c>
      <c r="F36" s="8"/>
      <c r="G36" s="9"/>
      <c r="H36" s="10"/>
    </row>
    <row r="37" spans="2:8" x14ac:dyDescent="0.25">
      <c r="B37" s="16" t="s">
        <v>673</v>
      </c>
      <c r="C37" s="18">
        <v>110.19587628865979</v>
      </c>
      <c r="D37" s="20">
        <f>GETPIVOTDATA("Sum of Approval Flag",$G$12,"Applicant Income",2000)/GETPIVOTDATA("Count of Loan_ID",$G$12,"Applicant Income",2000)</f>
        <v>0.70790378006872856</v>
      </c>
      <c r="F37" s="8"/>
      <c r="G37" s="9"/>
      <c r="H37" s="10"/>
    </row>
    <row r="38" spans="2:8" x14ac:dyDescent="0.25">
      <c r="B38" s="16" t="s">
        <v>674</v>
      </c>
      <c r="C38" s="18">
        <v>139.39285714285714</v>
      </c>
      <c r="D38" s="20">
        <f>GETPIVOTDATA("Sum of Approval Flag",$G$12,"Applicant Income",4000)/GETPIVOTDATA("Count of Loan_ID",$G$12,"Applicant Income",4000)</f>
        <v>0.68571428571428572</v>
      </c>
      <c r="F38" s="8"/>
      <c r="G38" s="9"/>
      <c r="H38" s="10"/>
    </row>
    <row r="39" spans="2:8" x14ac:dyDescent="0.25">
      <c r="B39" s="16" t="s">
        <v>675</v>
      </c>
      <c r="C39" s="18">
        <v>169.25423728813558</v>
      </c>
      <c r="D39" s="20">
        <f>GETPIVOTDATA("Sum of Approval Flag",$G$12,"Applicant Income",6000)/GETPIVOTDATA("Count of Loan_ID",$G$12,"Applicant Income",6000)</f>
        <v>0.6271186440677966</v>
      </c>
      <c r="F39" s="8"/>
      <c r="G39" s="9"/>
      <c r="H39" s="10"/>
    </row>
    <row r="40" spans="2:8" x14ac:dyDescent="0.25">
      <c r="B40" s="16" t="s">
        <v>676</v>
      </c>
      <c r="C40" s="18">
        <v>212.44827586206895</v>
      </c>
      <c r="D40" s="20">
        <f>GETPIVOTDATA("Sum of Approval Flag",$G$12,"Applicant Income",8000)/GETPIVOTDATA("Count of Loan_ID",$G$12,"Applicant Income",8000)</f>
        <v>0.7931034482758621</v>
      </c>
      <c r="F40" s="8"/>
      <c r="G40" s="9"/>
      <c r="H40" s="10"/>
    </row>
    <row r="41" spans="2:8" x14ac:dyDescent="0.25">
      <c r="B41" s="16" t="s">
        <v>677</v>
      </c>
      <c r="C41" s="18">
        <v>194.9375</v>
      </c>
      <c r="D41" s="20">
        <f>GETPIVOTDATA("Sum of Approval Flag",$G$12,"Applicant Income",10000)/GETPIVOTDATA("Count of Loan_ID",$G$12,"Applicant Income",10000)</f>
        <v>0.5</v>
      </c>
      <c r="F41" s="8"/>
      <c r="G41" s="9"/>
      <c r="H41" s="10"/>
    </row>
    <row r="42" spans="2:8" x14ac:dyDescent="0.25">
      <c r="B42" s="16" t="s">
        <v>678</v>
      </c>
      <c r="C42" s="18">
        <v>253.42857142857142</v>
      </c>
      <c r="D42" s="20">
        <f>GETPIVOTDATA("Sum of Approval Flag",$G$12,"Applicant Income",12000)/GETPIVOTDATA("Count of Loan_ID",$G$12,"Applicant Income",12000)</f>
        <v>0.5714285714285714</v>
      </c>
      <c r="F42" s="8"/>
      <c r="G42" s="9"/>
      <c r="H42" s="10"/>
    </row>
    <row r="43" spans="2:8" x14ac:dyDescent="0.25">
      <c r="B43" s="16" t="s">
        <v>679</v>
      </c>
      <c r="C43" s="18">
        <v>211</v>
      </c>
      <c r="D43" s="20">
        <f>GETPIVOTDATA("Sum of Approval Flag",$G$12,"Applicant Income",14000)/GETPIVOTDATA("Count of Loan_ID",$G$12,"Applicant Income",14000)</f>
        <v>0.75</v>
      </c>
      <c r="F43" s="8"/>
      <c r="G43" s="9"/>
      <c r="H43" s="10"/>
    </row>
    <row r="44" spans="2:8" x14ac:dyDescent="0.25">
      <c r="B44" s="16" t="s">
        <v>680</v>
      </c>
      <c r="C44" s="18">
        <v>212.25</v>
      </c>
      <c r="D44" s="20">
        <f>GETPIVOTDATA("Sum of Approval Flag",$G$12,"Applicant Income",16000)/GETPIVOTDATA("Count of Loan_ID",$G$12,"Applicant Income",16000)</f>
        <v>0.875</v>
      </c>
      <c r="F44" s="8"/>
      <c r="G44" s="9"/>
      <c r="H44" s="10"/>
    </row>
    <row r="45" spans="2:8" x14ac:dyDescent="0.25">
      <c r="B45" s="16" t="s">
        <v>681</v>
      </c>
      <c r="C45" s="18">
        <v>448.75</v>
      </c>
      <c r="D45" s="20">
        <f>GETPIVOTDATA("Sum of Approval Flag",$G$12,"Applicant Income",18000)/GETPIVOTDATA("Count of Loan_ID",$G$12,"Applicant Income",18000)</f>
        <v>0.5</v>
      </c>
      <c r="F45" s="8"/>
      <c r="G45" s="9"/>
      <c r="H45" s="10"/>
    </row>
    <row r="46" spans="2:8" x14ac:dyDescent="0.25">
      <c r="B46" s="16" t="s">
        <v>682</v>
      </c>
      <c r="C46" s="18">
        <v>402.5</v>
      </c>
      <c r="D46" s="20">
        <f>GETPIVOTDATA("Sum of Approval Flag",$G$12,"Applicant Income",20000)/GETPIVOTDATA("Count of Loan_ID",$G$12,"Applicant Income",20000)</f>
        <v>0.5</v>
      </c>
      <c r="F46" s="8"/>
      <c r="G46" s="9"/>
      <c r="H46" s="10"/>
    </row>
    <row r="47" spans="2:8" x14ac:dyDescent="0.25">
      <c r="B47" s="16" t="s">
        <v>683</v>
      </c>
      <c r="C47" s="18">
        <v>370</v>
      </c>
      <c r="D47" s="20">
        <f>GETPIVOTDATA("Sum of Approval Flag",$G$12,"Applicant Income",22000)/GETPIVOTDATA("Count of Loan_ID",$G$12,"Applicant Income",22000)</f>
        <v>1</v>
      </c>
      <c r="F47" s="8"/>
      <c r="G47" s="9"/>
      <c r="H47" s="10"/>
    </row>
    <row r="48" spans="2:8" x14ac:dyDescent="0.25">
      <c r="B48" s="16" t="s">
        <v>684</v>
      </c>
      <c r="C48" s="18">
        <v>260</v>
      </c>
      <c r="D48" s="20">
        <f>GETPIVOTDATA("Sum of Approval Flag",$G$12,"Applicant Income",32000)/GETPIVOTDATA("Count of Loan_ID",$G$12,"Applicant Income",32000)</f>
        <v>0</v>
      </c>
      <c r="F48" s="8"/>
      <c r="G48" s="9"/>
      <c r="H48" s="10"/>
    </row>
    <row r="49" spans="2:8" x14ac:dyDescent="0.25">
      <c r="B49" s="16" t="s">
        <v>685</v>
      </c>
      <c r="C49" s="18">
        <v>152</v>
      </c>
      <c r="D49" s="20">
        <f>GETPIVOTDATA("Sum of Approval Flag",$G$12,"Applicant Income",36000)/GETPIVOTDATA("Count of Loan_ID",$G$12,"Applicant Income",36000)</f>
        <v>1</v>
      </c>
      <c r="F49" s="8"/>
      <c r="G49" s="9"/>
      <c r="H49" s="10"/>
    </row>
    <row r="50" spans="2:8" x14ac:dyDescent="0.25">
      <c r="B50" s="16" t="s">
        <v>686</v>
      </c>
      <c r="C50" s="18">
        <v>360</v>
      </c>
      <c r="D50" s="20">
        <f>GETPIVOTDATA("Sum of Approval Flag",$G$12,"Applicant Income",38000)/GETPIVOTDATA("Count of Loan_ID",$G$12,"Applicant Income",38000)</f>
        <v>1</v>
      </c>
      <c r="F50" s="8"/>
      <c r="G50" s="9"/>
      <c r="H50" s="10"/>
    </row>
    <row r="51" spans="2:8" x14ac:dyDescent="0.25">
      <c r="B51" s="16" t="s">
        <v>687</v>
      </c>
      <c r="C51" s="18">
        <v>700</v>
      </c>
      <c r="D51" s="20">
        <f>GETPIVOTDATA("Sum of Approval Flag",$G$12,"Applicant Income",50000)/GETPIVOTDATA("Count of Loan_ID",$G$12,"Applicant Income",50000)</f>
        <v>1</v>
      </c>
      <c r="F51" s="8"/>
      <c r="G51" s="9"/>
      <c r="H51" s="10"/>
    </row>
    <row r="52" spans="2:8" x14ac:dyDescent="0.25">
      <c r="B52" s="16" t="s">
        <v>688</v>
      </c>
      <c r="C52" s="18">
        <v>490</v>
      </c>
      <c r="D52" s="20">
        <f>GETPIVOTDATA("Sum of Approval Flag",$G$12,"Applicant Income",62000)/GETPIVOTDATA("Count of Loan_ID",$G$12,"Applicant Income",62000)</f>
        <v>1</v>
      </c>
      <c r="F52" s="11"/>
      <c r="G52" s="12"/>
      <c r="H52" s="13"/>
    </row>
    <row r="53" spans="2:8" x14ac:dyDescent="0.25">
      <c r="B53" s="16" t="s">
        <v>689</v>
      </c>
      <c r="C53" s="18">
        <v>360</v>
      </c>
      <c r="D53" s="20">
        <f>GETPIVOTDATA("Sum of Approval Flag",$G$12,"Applicant Income",80000)/GETPIVOTDATA("Count of Loan_ID",$G$12,"Applicant Income",80000)</f>
        <v>0</v>
      </c>
    </row>
  </sheetData>
  <mergeCells count="5">
    <mergeCell ref="A2:B2"/>
    <mergeCell ref="A8:B8"/>
    <mergeCell ref="A14:B14"/>
    <mergeCell ref="A20:B20"/>
    <mergeCell ref="A26:B26"/>
  </mergeCells>
  <pageMargins left="0.7" right="0.7" top="0.75" bottom="0.75" header="0.3" footer="0.3"/>
  <tableParts count="1">
    <tablePart r:id="rId9"/>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57D8F-F67D-4B4B-8DC3-4F8CEC98992B}">
  <dimension ref="A3:K24"/>
  <sheetViews>
    <sheetView topLeftCell="C1" workbookViewId="0">
      <selection activeCell="E38" sqref="E38"/>
    </sheetView>
  </sheetViews>
  <sheetFormatPr defaultRowHeight="13.8" x14ac:dyDescent="0.25"/>
  <cols>
    <col min="1" max="1" width="11.8984375" bestFit="1" customWidth="1"/>
    <col min="2" max="2" width="20.69921875" bestFit="1" customWidth="1"/>
    <col min="3" max="3" width="12.59765625" bestFit="1" customWidth="1"/>
    <col min="5" max="5" width="21.59765625" bestFit="1" customWidth="1"/>
    <col min="6" max="6" width="73.8984375" bestFit="1" customWidth="1"/>
    <col min="7" max="7" width="15" bestFit="1" customWidth="1"/>
    <col min="8" max="8" width="14.296875" bestFit="1" customWidth="1"/>
    <col min="9" max="9" width="15" bestFit="1" customWidth="1"/>
    <col min="10" max="10" width="14.296875" bestFit="1" customWidth="1"/>
    <col min="11" max="11" width="15" bestFit="1" customWidth="1"/>
    <col min="12" max="12" width="8.09765625" customWidth="1"/>
    <col min="13" max="13" width="4" bestFit="1" customWidth="1"/>
    <col min="14" max="14" width="9.796875" bestFit="1" customWidth="1"/>
  </cols>
  <sheetData>
    <row r="3" spans="1:7" x14ac:dyDescent="0.25">
      <c r="A3" s="1" t="s">
        <v>644</v>
      </c>
      <c r="B3" t="s">
        <v>669</v>
      </c>
      <c r="C3" t="s">
        <v>693</v>
      </c>
      <c r="E3" s="1" t="s">
        <v>644</v>
      </c>
      <c r="F3" t="s">
        <v>692</v>
      </c>
      <c r="G3" t="s">
        <v>669</v>
      </c>
    </row>
    <row r="4" spans="1:7" x14ac:dyDescent="0.25">
      <c r="A4" s="2" t="s">
        <v>18</v>
      </c>
      <c r="B4" s="18">
        <v>147.15642458100558</v>
      </c>
      <c r="C4" s="14">
        <v>0.61452513966480449</v>
      </c>
      <c r="E4" s="2" t="s">
        <v>703</v>
      </c>
      <c r="F4" s="14">
        <v>0.75</v>
      </c>
      <c r="G4" s="18">
        <v>101.83333333333333</v>
      </c>
    </row>
    <row r="5" spans="1:7" x14ac:dyDescent="0.25">
      <c r="A5" s="2" t="s">
        <v>27</v>
      </c>
      <c r="B5" s="18">
        <v>142.38197424892704</v>
      </c>
      <c r="C5" s="14">
        <v>0.76824034334763946</v>
      </c>
      <c r="E5" s="2" t="s">
        <v>704</v>
      </c>
      <c r="F5" s="14">
        <v>0.65573770491803274</v>
      </c>
      <c r="G5" s="18">
        <v>146.85245901639345</v>
      </c>
    </row>
    <row r="6" spans="1:7" x14ac:dyDescent="0.25">
      <c r="A6" s="2" t="s">
        <v>14</v>
      </c>
      <c r="B6" s="18">
        <v>134.45544554455446</v>
      </c>
      <c r="C6" s="14">
        <v>0.65841584158415845</v>
      </c>
      <c r="E6" s="2" t="s">
        <v>705</v>
      </c>
      <c r="F6" s="14">
        <v>0.6894639556377079</v>
      </c>
      <c r="G6" s="18">
        <v>141.39741219963031</v>
      </c>
    </row>
    <row r="7" spans="1:7" x14ac:dyDescent="0.25">
      <c r="A7" s="2" t="s">
        <v>645</v>
      </c>
      <c r="B7" s="18">
        <v>141.16612377850163</v>
      </c>
      <c r="C7" s="14">
        <v>0.68729641693811072</v>
      </c>
      <c r="E7" s="2" t="s">
        <v>645</v>
      </c>
      <c r="F7" s="14">
        <v>0.68729641693811072</v>
      </c>
      <c r="G7" s="18">
        <v>141.16612377850163</v>
      </c>
    </row>
    <row r="11" spans="1:7" x14ac:dyDescent="0.25">
      <c r="A11" s="1" t="s">
        <v>644</v>
      </c>
      <c r="B11" t="s">
        <v>695</v>
      </c>
      <c r="C11" t="s">
        <v>694</v>
      </c>
      <c r="E11" s="1" t="s">
        <v>644</v>
      </c>
      <c r="F11" t="s">
        <v>692</v>
      </c>
    </row>
    <row r="12" spans="1:7" x14ac:dyDescent="0.25">
      <c r="A12" s="2" t="s">
        <v>699</v>
      </c>
      <c r="B12" s="18">
        <v>143.32432432432432</v>
      </c>
      <c r="C12" s="14">
        <v>0.21621621621621623</v>
      </c>
      <c r="E12" s="2" t="s">
        <v>698</v>
      </c>
      <c r="F12" s="14">
        <v>0.67832167832167833</v>
      </c>
    </row>
    <row r="13" spans="1:7" x14ac:dyDescent="0.25">
      <c r="A13" s="2" t="s">
        <v>700</v>
      </c>
      <c r="B13" s="18">
        <v>140.68986083499007</v>
      </c>
      <c r="C13" s="14">
        <v>0.79125248508946322</v>
      </c>
      <c r="E13" s="2" t="s">
        <v>696</v>
      </c>
      <c r="F13" s="14">
        <v>0.69230769230769229</v>
      </c>
    </row>
    <row r="14" spans="1:7" x14ac:dyDescent="0.25">
      <c r="A14" s="2" t="s">
        <v>645</v>
      </c>
      <c r="B14" s="18">
        <v>141.16612377850163</v>
      </c>
      <c r="C14" s="14">
        <v>0.68729641693811072</v>
      </c>
      <c r="E14" s="2" t="s">
        <v>697</v>
      </c>
      <c r="F14" s="14">
        <v>0.68421052631578949</v>
      </c>
    </row>
    <row r="15" spans="1:7" x14ac:dyDescent="0.25">
      <c r="E15" s="2" t="s">
        <v>645</v>
      </c>
      <c r="F15" s="14">
        <v>0.68729641693811072</v>
      </c>
    </row>
    <row r="18" spans="1:11" x14ac:dyDescent="0.25">
      <c r="E18" s="1" t="s">
        <v>692</v>
      </c>
      <c r="F18" s="1" t="s">
        <v>706</v>
      </c>
    </row>
    <row r="19" spans="1:11" x14ac:dyDescent="0.25">
      <c r="A19" s="1" t="s">
        <v>3</v>
      </c>
      <c r="B19" t="s">
        <v>669</v>
      </c>
      <c r="C19" s="14" t="s">
        <v>701</v>
      </c>
      <c r="F19" t="s">
        <v>18</v>
      </c>
      <c r="H19" t="s">
        <v>27</v>
      </c>
      <c r="J19" t="s">
        <v>14</v>
      </c>
    </row>
    <row r="20" spans="1:11" x14ac:dyDescent="0.25">
      <c r="A20" s="2">
        <v>0</v>
      </c>
      <c r="B20" s="18">
        <v>130.70833333333334</v>
      </c>
      <c r="C20" s="14">
        <v>0.68611111111111112</v>
      </c>
      <c r="E20" s="1" t="s">
        <v>644</v>
      </c>
      <c r="F20" t="s">
        <v>699</v>
      </c>
      <c r="G20" t="s">
        <v>700</v>
      </c>
      <c r="H20" t="s">
        <v>699</v>
      </c>
      <c r="I20" t="s">
        <v>700</v>
      </c>
      <c r="J20" t="s">
        <v>699</v>
      </c>
      <c r="K20" t="s">
        <v>700</v>
      </c>
    </row>
    <row r="21" spans="1:11" x14ac:dyDescent="0.25">
      <c r="A21" s="2">
        <v>1</v>
      </c>
      <c r="B21" s="18">
        <v>152.40196078431373</v>
      </c>
      <c r="C21" s="14">
        <v>0.6470588235294118</v>
      </c>
      <c r="E21" s="2" t="s">
        <v>13</v>
      </c>
      <c r="F21" s="14">
        <v>0.18181818181818182</v>
      </c>
      <c r="G21" s="14">
        <v>0.73394495412844041</v>
      </c>
      <c r="H21" s="14">
        <v>0.2413793103448276</v>
      </c>
      <c r="I21" s="14">
        <v>0.86708860759493667</v>
      </c>
      <c r="J21" s="14">
        <v>0.25925925925925924</v>
      </c>
      <c r="K21" s="14">
        <v>0.77777777777777779</v>
      </c>
    </row>
    <row r="22" spans="1:11" x14ac:dyDescent="0.25">
      <c r="A22" s="2">
        <v>2</v>
      </c>
      <c r="B22" s="18">
        <v>145.76237623762376</v>
      </c>
      <c r="C22" s="14">
        <v>0.75247524752475248</v>
      </c>
      <c r="E22" s="2" t="s">
        <v>22</v>
      </c>
      <c r="F22" s="14">
        <v>0.1</v>
      </c>
      <c r="G22" s="14">
        <v>0.65789473684210531</v>
      </c>
      <c r="H22" s="14">
        <v>0.33333333333333331</v>
      </c>
      <c r="I22" s="14">
        <v>0.86486486486486491</v>
      </c>
      <c r="J22" s="14">
        <v>0.14285714285714285</v>
      </c>
      <c r="K22" s="14">
        <v>0.73076923076923073</v>
      </c>
    </row>
    <row r="23" spans="1:11" x14ac:dyDescent="0.25">
      <c r="A23" s="2" t="s">
        <v>702</v>
      </c>
      <c r="B23" s="18">
        <v>183.41176470588235</v>
      </c>
      <c r="C23" s="14">
        <v>0.6470588235294118</v>
      </c>
    </row>
    <row r="24" spans="1:11" x14ac:dyDescent="0.25">
      <c r="A24" s="2" t="s">
        <v>645</v>
      </c>
      <c r="B24" s="18">
        <v>141.16612377850163</v>
      </c>
      <c r="C24" s="14">
        <v>0.68729641693811072</v>
      </c>
    </row>
  </sheetData>
  <conditionalFormatting pivot="1" sqref="F21:K22">
    <cfRule type="colorScale" priority="1">
      <colorScale>
        <cfvo type="min"/>
        <cfvo type="percentile" val="50"/>
        <cfvo type="max"/>
        <color rgb="FFF8696B"/>
        <color rgb="FFFFEB84"/>
        <color rgb="FF63BE7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Data</vt:lpstr>
      <vt:lpstr>Summary</vt:lpstr>
      <vt:lpstr>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Inspiron</cp:lastModifiedBy>
  <dcterms:created xsi:type="dcterms:W3CDTF">2025-10-15T10:03:38Z</dcterms:created>
  <dcterms:modified xsi:type="dcterms:W3CDTF">2025-11-15T10:36:37Z</dcterms:modified>
</cp:coreProperties>
</file>